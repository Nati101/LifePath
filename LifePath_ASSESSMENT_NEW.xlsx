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joel/Documents/Claude/Projects/LifePath Assessment/"/>
    </mc:Choice>
  </mc:AlternateContent>
  <xr:revisionPtr revIDLastSave="0" documentId="8_{87ABA39F-A0B4-6947-9C45-CA2269BFDF77}" xr6:coauthVersionLast="47" xr6:coauthVersionMax="47" xr10:uidLastSave="{00000000-0000-0000-0000-000000000000}"/>
  <bookViews>
    <workbookView xWindow="0" yWindow="500" windowWidth="20060" windowHeight="16420" tabRatio="500" activeTab="3" xr2:uid="{00000000-000D-0000-FFFF-FFFF00000000}"/>
  </bookViews>
  <sheets>
    <sheet name="Start_Here" sheetId="1" r:id="rId1"/>
    <sheet name="Interests" sheetId="2" r:id="rId2"/>
    <sheet name="Strengths" sheetId="3" r:id="rId3"/>
    <sheet name="Drivers" sheetId="4" r:id="rId4"/>
    <sheet name="Work Style &amp; Environment" sheetId="5" r:id="rId5"/>
    <sheet name="Results_Dashboard" sheetId="6" r:id="rId6"/>
    <sheet name="Admin_Settings" sheetId="7" r:id="rId7"/>
    <sheet name="Construct_Map" sheetId="8" r:id="rId8"/>
    <sheet name="Use_Cases_Guardrails" sheetId="9" r:id="rId9"/>
    <sheet name="Validation_Plan" sheetId="10" r:id="rId10"/>
    <sheet name="Bias_Fairness_Checklist" sheetId="11" r:id="rId11"/>
    <sheet name="Sample_Report_Template"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1" i="6" l="1"/>
  <c r="D17" i="6"/>
  <c r="D13" i="6"/>
  <c r="E9" i="6"/>
  <c r="B8" i="6"/>
  <c r="B7" i="6"/>
  <c r="D20" i="6" s="1"/>
  <c r="B6" i="6"/>
  <c r="C20" i="6" s="1"/>
  <c r="B5" i="6"/>
  <c r="B9" i="6" s="1"/>
  <c r="AC58" i="5"/>
  <c r="AB58" i="5"/>
  <c r="AA58" i="5"/>
  <c r="Z58" i="5"/>
  <c r="Y58" i="5"/>
  <c r="X58" i="5"/>
  <c r="W58" i="5"/>
  <c r="V58" i="5"/>
  <c r="U58" i="5"/>
  <c r="AC57" i="5"/>
  <c r="AB57" i="5"/>
  <c r="AA57" i="5"/>
  <c r="Z57" i="5"/>
  <c r="Y57" i="5"/>
  <c r="X57" i="5"/>
  <c r="W57" i="5"/>
  <c r="V57" i="5"/>
  <c r="U57" i="5"/>
  <c r="AC56" i="5"/>
  <c r="AB56" i="5"/>
  <c r="AA56" i="5"/>
  <c r="Z56" i="5"/>
  <c r="Y56" i="5"/>
  <c r="X56" i="5"/>
  <c r="W56" i="5"/>
  <c r="V56" i="5"/>
  <c r="U56" i="5"/>
  <c r="AC55" i="5"/>
  <c r="AB55" i="5"/>
  <c r="AA55" i="5"/>
  <c r="Z55" i="5"/>
  <c r="Y55" i="5"/>
  <c r="X55" i="5"/>
  <c r="W55" i="5"/>
  <c r="V55" i="5"/>
  <c r="U55" i="5"/>
  <c r="AC54" i="5"/>
  <c r="AB54" i="5"/>
  <c r="AA54" i="5"/>
  <c r="Z54" i="5"/>
  <c r="Y54" i="5"/>
  <c r="X54" i="5"/>
  <c r="W54" i="5"/>
  <c r="V54" i="5"/>
  <c r="U54" i="5"/>
  <c r="AC53" i="5"/>
  <c r="AB53" i="5"/>
  <c r="AA53" i="5"/>
  <c r="Z53" i="5"/>
  <c r="Y53" i="5"/>
  <c r="X53" i="5"/>
  <c r="W53" i="5"/>
  <c r="V53" i="5"/>
  <c r="U53" i="5"/>
  <c r="B53" i="5"/>
  <c r="AA68" i="5" s="1"/>
  <c r="AC52" i="5"/>
  <c r="AB52" i="5"/>
  <c r="AA52" i="5"/>
  <c r="Z52" i="5"/>
  <c r="Y52" i="5"/>
  <c r="X52" i="5"/>
  <c r="W52" i="5"/>
  <c r="V52" i="5"/>
  <c r="U52" i="5"/>
  <c r="AC51" i="5"/>
  <c r="AB51" i="5"/>
  <c r="AA51" i="5"/>
  <c r="Z51" i="5"/>
  <c r="Y51" i="5"/>
  <c r="X51" i="5"/>
  <c r="W51" i="5"/>
  <c r="V51" i="5"/>
  <c r="U51" i="5"/>
  <c r="AC50" i="5"/>
  <c r="AB50" i="5"/>
  <c r="AA50" i="5"/>
  <c r="Z50" i="5"/>
  <c r="Y50" i="5"/>
  <c r="X50" i="5"/>
  <c r="W50" i="5"/>
  <c r="V50" i="5"/>
  <c r="U50" i="5"/>
  <c r="B50" i="5"/>
  <c r="X65" i="5" s="1"/>
  <c r="L45" i="5"/>
  <c r="F45" i="5"/>
  <c r="L44" i="5"/>
  <c r="F44" i="5"/>
  <c r="L43" i="5"/>
  <c r="F43" i="5"/>
  <c r="B61" i="5" s="1"/>
  <c r="L42" i="5"/>
  <c r="F42" i="5"/>
  <c r="L41" i="5"/>
  <c r="F41" i="5"/>
  <c r="L40" i="5"/>
  <c r="F40" i="5"/>
  <c r="B60" i="5" s="1"/>
  <c r="L39" i="5"/>
  <c r="F39" i="5"/>
  <c r="L38" i="5"/>
  <c r="F38" i="5"/>
  <c r="B59" i="5" s="1"/>
  <c r="L37" i="5"/>
  <c r="F37" i="5"/>
  <c r="L36" i="5"/>
  <c r="F36" i="5"/>
  <c r="L35" i="5"/>
  <c r="F35" i="5"/>
  <c r="L34" i="5"/>
  <c r="F34" i="5"/>
  <c r="B58" i="5" s="1"/>
  <c r="L33" i="5"/>
  <c r="F33" i="5"/>
  <c r="L32" i="5"/>
  <c r="F32" i="5"/>
  <c r="B57" i="5" s="1"/>
  <c r="L31" i="5"/>
  <c r="F31" i="5"/>
  <c r="L30" i="5"/>
  <c r="F30" i="5"/>
  <c r="L29" i="5"/>
  <c r="F29" i="5"/>
  <c r="L28" i="5"/>
  <c r="F28" i="5"/>
  <c r="B56" i="5" s="1"/>
  <c r="L27" i="5"/>
  <c r="F27" i="5"/>
  <c r="L26" i="5"/>
  <c r="F26" i="5"/>
  <c r="B55" i="5" s="1"/>
  <c r="L25" i="5"/>
  <c r="F25" i="5"/>
  <c r="L24" i="5"/>
  <c r="F24" i="5"/>
  <c r="L23" i="5"/>
  <c r="F23" i="5"/>
  <c r="L22" i="5"/>
  <c r="F22" i="5"/>
  <c r="B54" i="5" s="1"/>
  <c r="L21" i="5"/>
  <c r="F21" i="5"/>
  <c r="L20" i="5"/>
  <c r="F20" i="5"/>
  <c r="L19" i="5"/>
  <c r="F19" i="5"/>
  <c r="L18" i="5"/>
  <c r="F18" i="5"/>
  <c r="L17" i="5"/>
  <c r="F17" i="5"/>
  <c r="B52" i="5" s="1"/>
  <c r="L16" i="5"/>
  <c r="F16" i="5"/>
  <c r="L15" i="5"/>
  <c r="F15" i="5"/>
  <c r="L14" i="5"/>
  <c r="F14" i="5"/>
  <c r="B51" i="5" s="1"/>
  <c r="L13" i="5"/>
  <c r="F13" i="5"/>
  <c r="L12" i="5"/>
  <c r="F12" i="5"/>
  <c r="L11" i="5"/>
  <c r="F11" i="5"/>
  <c r="L10" i="5"/>
  <c r="F10" i="5"/>
  <c r="D72" i="5" s="1"/>
  <c r="B72" i="5" s="1"/>
  <c r="C72" i="5" s="1"/>
  <c r="E4" i="5"/>
  <c r="E2" i="5"/>
  <c r="B62" i="4"/>
  <c r="C62" i="4" s="1"/>
  <c r="B61" i="4"/>
  <c r="C61" i="4" s="1"/>
  <c r="B60" i="4"/>
  <c r="C60" i="4" s="1"/>
  <c r="B59" i="4"/>
  <c r="C59" i="4" s="1"/>
  <c r="B58" i="4"/>
  <c r="C58" i="4" s="1"/>
  <c r="B57" i="4"/>
  <c r="C57" i="4" s="1"/>
  <c r="B56" i="4"/>
  <c r="D15" i="6" s="1"/>
  <c r="B55" i="4"/>
  <c r="C55" i="4" s="1"/>
  <c r="B54" i="4"/>
  <c r="C54" i="4" s="1"/>
  <c r="B50" i="4"/>
  <c r="E2" i="4"/>
  <c r="E4" i="4" s="1"/>
  <c r="C58" i="3"/>
  <c r="B58" i="3"/>
  <c r="N58" i="3" s="1"/>
  <c r="N57" i="3"/>
  <c r="B57" i="3"/>
  <c r="C57" i="3" s="1"/>
  <c r="B56" i="3"/>
  <c r="N56" i="3" s="1"/>
  <c r="B55" i="3"/>
  <c r="N55" i="3" s="1"/>
  <c r="N54" i="3"/>
  <c r="C54" i="3"/>
  <c r="B54" i="3"/>
  <c r="N53" i="3"/>
  <c r="B53" i="3"/>
  <c r="C53" i="3" s="1"/>
  <c r="N52" i="3"/>
  <c r="C52" i="3"/>
  <c r="B52" i="3"/>
  <c r="B51" i="3"/>
  <c r="N51" i="3" s="1"/>
  <c r="C50" i="3"/>
  <c r="B50" i="3"/>
  <c r="N50" i="3" s="1"/>
  <c r="E2" i="3"/>
  <c r="E4" i="3" s="1"/>
  <c r="C58" i="2"/>
  <c r="B58" i="2"/>
  <c r="N58" i="2" s="1"/>
  <c r="N57" i="2"/>
  <c r="B57" i="2"/>
  <c r="C57" i="2" s="1"/>
  <c r="B56" i="2"/>
  <c r="N56" i="2" s="1"/>
  <c r="B55" i="2"/>
  <c r="N55" i="2" s="1"/>
  <c r="N54" i="2"/>
  <c r="C54" i="2"/>
  <c r="B54" i="2"/>
  <c r="N53" i="2"/>
  <c r="C53" i="2"/>
  <c r="B53" i="2"/>
  <c r="N52" i="2"/>
  <c r="C52" i="2"/>
  <c r="B52" i="2"/>
  <c r="B51" i="2"/>
  <c r="C51" i="2" s="1"/>
  <c r="B50" i="2"/>
  <c r="C50" i="2" s="1"/>
  <c r="E2" i="2"/>
  <c r="E4" i="2" s="1"/>
  <c r="B38" i="6" l="1"/>
  <c r="K20" i="6"/>
  <c r="B36" i="6"/>
  <c r="J20" i="6"/>
  <c r="K21" i="6"/>
  <c r="K17" i="6"/>
  <c r="K15" i="6"/>
  <c r="K13" i="6"/>
  <c r="K10" i="6"/>
  <c r="AD71" i="5"/>
  <c r="AD66" i="5"/>
  <c r="AD72" i="5"/>
  <c r="C56" i="5"/>
  <c r="AD65" i="5"/>
  <c r="AD64" i="5"/>
  <c r="AD67" i="5"/>
  <c r="AD68" i="5"/>
  <c r="AD69" i="5"/>
  <c r="AD70" i="5"/>
  <c r="AE72" i="5"/>
  <c r="AE67" i="5"/>
  <c r="AE65" i="5"/>
  <c r="AE64" i="5"/>
  <c r="AE66" i="5"/>
  <c r="AE68" i="5"/>
  <c r="AE69" i="5"/>
  <c r="AE70" i="5"/>
  <c r="C57" i="5"/>
  <c r="AE71" i="5"/>
  <c r="Z67" i="5"/>
  <c r="Z68" i="5"/>
  <c r="Z69" i="5"/>
  <c r="Z71" i="5"/>
  <c r="Z72" i="5"/>
  <c r="C52" i="5"/>
  <c r="Z70" i="5"/>
  <c r="Z65" i="5"/>
  <c r="Z64" i="5"/>
  <c r="Z66" i="5"/>
  <c r="E21" i="6"/>
  <c r="L21" i="6" s="1"/>
  <c r="Y66" i="5"/>
  <c r="C51" i="5"/>
  <c r="Y67" i="5"/>
  <c r="Y68" i="5"/>
  <c r="Y70" i="5"/>
  <c r="Y71" i="5"/>
  <c r="Y72" i="5"/>
  <c r="Y69" i="5"/>
  <c r="Y65" i="5"/>
  <c r="Y64" i="5"/>
  <c r="AB69" i="5"/>
  <c r="AB70" i="5"/>
  <c r="AB71" i="5"/>
  <c r="AB72" i="5"/>
  <c r="AB65" i="5"/>
  <c r="AB64" i="5"/>
  <c r="AB66" i="5"/>
  <c r="AB67" i="5"/>
  <c r="AB68" i="5"/>
  <c r="C54" i="5"/>
  <c r="AC70" i="5"/>
  <c r="AC71" i="5"/>
  <c r="C55" i="5"/>
  <c r="AC72" i="5"/>
  <c r="AC66" i="5"/>
  <c r="AC67" i="5"/>
  <c r="AC68" i="5"/>
  <c r="AC65" i="5"/>
  <c r="AC64" i="5"/>
  <c r="AC69" i="5"/>
  <c r="AF65" i="5"/>
  <c r="AF64" i="5"/>
  <c r="AF68" i="5"/>
  <c r="C58" i="5"/>
  <c r="AF66" i="5"/>
  <c r="AF67" i="5"/>
  <c r="AF69" i="5"/>
  <c r="AF70" i="5"/>
  <c r="AF71" i="5"/>
  <c r="AF72" i="5"/>
  <c r="AG66" i="5"/>
  <c r="C59" i="5"/>
  <c r="AG67" i="5"/>
  <c r="AG68" i="5"/>
  <c r="AG69" i="5"/>
  <c r="AG70" i="5"/>
  <c r="AG71" i="5"/>
  <c r="AG72" i="5"/>
  <c r="AG65" i="5"/>
  <c r="AG64" i="5"/>
  <c r="AH67" i="5"/>
  <c r="AH70" i="5"/>
  <c r="AH68" i="5"/>
  <c r="AH69" i="5"/>
  <c r="AH71" i="5"/>
  <c r="AH72" i="5"/>
  <c r="AH65" i="5"/>
  <c r="AH64" i="5"/>
  <c r="C60" i="5"/>
  <c r="AH66" i="5"/>
  <c r="O56" i="3"/>
  <c r="B63" i="3"/>
  <c r="P54" i="3"/>
  <c r="O51" i="3"/>
  <c r="C62" i="3"/>
  <c r="O57" i="3"/>
  <c r="D62" i="3"/>
  <c r="P57" i="3"/>
  <c r="O54" i="3"/>
  <c r="B62" i="3"/>
  <c r="C64" i="3"/>
  <c r="P58" i="3"/>
  <c r="O55" i="3"/>
  <c r="P50" i="3"/>
  <c r="B64" i="3"/>
  <c r="O58" i="3"/>
  <c r="P53" i="3"/>
  <c r="O50" i="3"/>
  <c r="P51" i="3"/>
  <c r="D64" i="3"/>
  <c r="P55" i="3"/>
  <c r="O52" i="3"/>
  <c r="P56" i="3"/>
  <c r="O53" i="3"/>
  <c r="C63" i="3"/>
  <c r="P52" i="3"/>
  <c r="AI68" i="5"/>
  <c r="AI69" i="5"/>
  <c r="AI70" i="5"/>
  <c r="AI72" i="5"/>
  <c r="C61" i="5"/>
  <c r="AI65" i="5"/>
  <c r="AI64" i="5"/>
  <c r="AI71" i="5"/>
  <c r="AI66" i="5"/>
  <c r="AI67" i="5"/>
  <c r="N50" i="2"/>
  <c r="C55" i="2"/>
  <c r="C55" i="3"/>
  <c r="D63" i="3" s="1"/>
  <c r="AA67" i="5"/>
  <c r="D71" i="5"/>
  <c r="B71" i="5" s="1"/>
  <c r="C71" i="5" s="1"/>
  <c r="X72" i="5"/>
  <c r="D14" i="6"/>
  <c r="K14" i="6" s="1"/>
  <c r="D16" i="6"/>
  <c r="K16" i="6" s="1"/>
  <c r="D18" i="6"/>
  <c r="K18" i="6" s="1"/>
  <c r="C51" i="3"/>
  <c r="C56" i="4"/>
  <c r="AA66" i="5"/>
  <c r="D70" i="5"/>
  <c r="B70" i="5" s="1"/>
  <c r="C70" i="5" s="1"/>
  <c r="X71" i="5"/>
  <c r="D67" i="5"/>
  <c r="B67" i="5" s="1"/>
  <c r="C67" i="5" s="1"/>
  <c r="X68" i="5"/>
  <c r="AA64" i="5"/>
  <c r="AA65" i="5"/>
  <c r="D69" i="5"/>
  <c r="B69" i="5" s="1"/>
  <c r="C69" i="5" s="1"/>
  <c r="X70" i="5"/>
  <c r="B13" i="6"/>
  <c r="B15" i="6"/>
  <c r="I15" i="6" s="1"/>
  <c r="B17" i="6"/>
  <c r="I17" i="6" s="1"/>
  <c r="B19" i="6"/>
  <c r="I19" i="6" s="1"/>
  <c r="B21" i="6"/>
  <c r="F21" i="6" s="1"/>
  <c r="D68" i="5"/>
  <c r="B68" i="5" s="1"/>
  <c r="C68" i="5" s="1"/>
  <c r="X69" i="5"/>
  <c r="AA72" i="5"/>
  <c r="C13" i="6"/>
  <c r="J13" i="6" s="1"/>
  <c r="C15" i="6"/>
  <c r="J15" i="6" s="1"/>
  <c r="C17" i="6"/>
  <c r="J17" i="6" s="1"/>
  <c r="C19" i="6"/>
  <c r="J19" i="6" s="1"/>
  <c r="C21" i="6"/>
  <c r="J21" i="6" s="1"/>
  <c r="AA71" i="5"/>
  <c r="D19" i="6"/>
  <c r="K19" i="6" s="1"/>
  <c r="N51" i="2"/>
  <c r="C56" i="2"/>
  <c r="C56" i="3"/>
  <c r="C53" i="5"/>
  <c r="D65" i="5"/>
  <c r="D66" i="5"/>
  <c r="B66" i="5" s="1"/>
  <c r="C66" i="5" s="1"/>
  <c r="X67" i="5"/>
  <c r="AA70" i="5"/>
  <c r="D64" i="5"/>
  <c r="E65" i="5"/>
  <c r="X66" i="5"/>
  <c r="AA69" i="5"/>
  <c r="B14" i="6"/>
  <c r="B16" i="6"/>
  <c r="B18" i="6"/>
  <c r="I18" i="6" s="1"/>
  <c r="B20" i="6"/>
  <c r="I20" i="6" s="1"/>
  <c r="C50" i="5"/>
  <c r="X64" i="5"/>
  <c r="C14" i="6"/>
  <c r="J14" i="6" s="1"/>
  <c r="C16" i="6"/>
  <c r="J16" i="6" s="1"/>
  <c r="C18" i="6"/>
  <c r="J18" i="6" s="1"/>
  <c r="M19" i="6" l="1"/>
  <c r="M18" i="6"/>
  <c r="G21" i="6"/>
  <c r="O21" i="6"/>
  <c r="I13" i="6"/>
  <c r="I21" i="6"/>
  <c r="M21" i="6" s="1"/>
  <c r="E16" i="6"/>
  <c r="L16" i="6" s="1"/>
  <c r="F17" i="6"/>
  <c r="B65" i="5"/>
  <c r="I14" i="6"/>
  <c r="I16" i="6"/>
  <c r="D73" i="5"/>
  <c r="B64" i="5"/>
  <c r="E19" i="6"/>
  <c r="L19" i="6" s="1"/>
  <c r="E17" i="6"/>
  <c r="L17" i="6" s="1"/>
  <c r="M17" i="6" s="1"/>
  <c r="E20" i="6"/>
  <c r="L20" i="6" s="1"/>
  <c r="M20" i="6" s="1"/>
  <c r="E15" i="6"/>
  <c r="L15" i="6" s="1"/>
  <c r="M15" i="6" s="1"/>
  <c r="E18" i="6"/>
  <c r="L18" i="6" s="1"/>
  <c r="C63" i="2"/>
  <c r="O56" i="2"/>
  <c r="O52" i="2"/>
  <c r="B63" i="2"/>
  <c r="P54" i="2"/>
  <c r="D62" i="2"/>
  <c r="P57" i="2"/>
  <c r="O54" i="2"/>
  <c r="B62" i="2"/>
  <c r="P55" i="2"/>
  <c r="C64" i="2"/>
  <c r="P58" i="2"/>
  <c r="O55" i="2"/>
  <c r="P50" i="2"/>
  <c r="B64" i="2"/>
  <c r="O58" i="2"/>
  <c r="P53" i="2"/>
  <c r="O50" i="2"/>
  <c r="P51" i="2"/>
  <c r="O51" i="2"/>
  <c r="C62" i="2"/>
  <c r="D64" i="2"/>
  <c r="D63" i="2"/>
  <c r="P56" i="2"/>
  <c r="O53" i="2"/>
  <c r="O57" i="2"/>
  <c r="P52" i="2"/>
  <c r="F18" i="6" l="1"/>
  <c r="O17" i="6"/>
  <c r="G17" i="6"/>
  <c r="F19" i="6"/>
  <c r="C64" i="5"/>
  <c r="E13" i="6"/>
  <c r="M16" i="6"/>
  <c r="F15" i="6"/>
  <c r="F20" i="6"/>
  <c r="F16" i="6"/>
  <c r="C65" i="5"/>
  <c r="E14" i="6"/>
  <c r="G15" i="6" l="1"/>
  <c r="O15" i="6"/>
  <c r="L13" i="6"/>
  <c r="M13" i="6" s="1"/>
  <c r="F13" i="6"/>
  <c r="O19" i="6"/>
  <c r="G19" i="6"/>
  <c r="L14" i="6"/>
  <c r="M14" i="6" s="1"/>
  <c r="F14" i="6"/>
  <c r="G16" i="6"/>
  <c r="O16" i="6"/>
  <c r="G20" i="6"/>
  <c r="O20" i="6"/>
  <c r="G18" i="6"/>
  <c r="O18" i="6"/>
  <c r="O14" i="6" l="1"/>
  <c r="G14" i="6"/>
  <c r="C28" i="6"/>
  <c r="C26" i="6"/>
  <c r="G13" i="6"/>
  <c r="O13" i="6"/>
  <c r="C27" i="6"/>
  <c r="B26" i="6" l="1"/>
  <c r="L7" i="6"/>
  <c r="L8" i="6"/>
  <c r="B27" i="6"/>
  <c r="K6" i="6"/>
  <c r="K7" i="6"/>
  <c r="B28" i="6"/>
  <c r="K8" i="6"/>
  <c r="L6" i="6"/>
  <c r="A29" i="6"/>
  <c r="D27" i="6" l="1"/>
  <c r="H27" i="6"/>
  <c r="D28" i="6"/>
  <c r="H28" i="6"/>
  <c r="H26" i="6"/>
  <c r="B34" i="6"/>
  <c r="B33" i="6"/>
  <c r="D26" i="6"/>
  <c r="B37" i="6"/>
</calcChain>
</file>

<file path=xl/sharedStrings.xml><?xml version="1.0" encoding="utf-8"?>
<sst xmlns="http://schemas.openxmlformats.org/spreadsheetml/2006/main" count="1178" uniqueCount="636">
  <si>
    <t>LifePath Career Exploration Assessment</t>
  </si>
  <si>
    <t>A strengths-based tool for exploration (not prediction). Designed for students ages 14–18, educators, and families.</t>
  </si>
  <si>
    <t>Student name:</t>
  </si>
  <si>
    <t>Date:</t>
  </si>
  <si>
    <t>Class/Advisor:</t>
  </si>
  <si>
    <t>How to complete the assessment (student steps)</t>
  </si>
  <si>
    <t>1) Go to each section tab: Interests → Strengths → Drivers → Conditions.</t>
  </si>
  <si>
    <t>2) In each section, fill in the yellow rating cells using the 1–4 scale.</t>
  </si>
  <si>
    <t xml:space="preserve">   • 1 = Not me / Not true right now  • 2 = A little like me  • 3 = Mostly me  • 4 = Very me</t>
  </si>
  <si>
    <t>3) Try to answer all items. If you truly can’t answer one, leave it blank and come back later.</t>
  </si>
  <si>
    <t>4) When each section shows 100% completion, open the “Results_Dashboard” tab.</t>
  </si>
  <si>
    <t>5) Use the results to pick 2–3 paths to explore first (classes, clubs, job shadows, interviews).</t>
  </si>
  <si>
    <t>Important notes (read this)</t>
  </si>
  <si>
    <t>• This tool is for career exploration and conversation. It does not “decide” your future and it is not a diagnosis.</t>
  </si>
  <si>
    <t>• Your scores can change as you learn more about yourself and try new activities.</t>
  </si>
  <si>
    <t>• Use the results to expand choices: combine your top paths with electives, extracurriculars, or part-time work ideas.</t>
  </si>
  <si>
    <t>• If anything feels unfair or doesn’t fit your culture, values, or abilities, talk with an educator—your context matters.</t>
  </si>
  <si>
    <t>How scores are combined (for transparency): Interests 35% + Strengths 35% + Drivers 20% + Conditions 10%.</t>
  </si>
  <si>
    <t>More details (optional): Construct Map, Use Cases, Validation Plan, Fairness Checklist, Sample Report.</t>
  </si>
  <si>
    <t>Open: Construct_Map</t>
  </si>
  <si>
    <t>Open: Use_Cases_Guardrails</t>
  </si>
  <si>
    <t>Open: Validation_Plan</t>
  </si>
  <si>
    <t>Open: Bias_Fairness_Checklist</t>
  </si>
  <si>
    <t>Open: Sample_Report_Template</t>
  </si>
  <si>
    <t>INTERESTS – WHAT YOU ENJOY DOING</t>
  </si>
  <si>
    <t>Completion</t>
  </si>
  <si>
    <t>Rate how much each activity sounds like you — or how willing you would be to try it.</t>
  </si>
  <si>
    <t>Answered</t>
  </si>
  <si>
    <t>Answer based on your honest gut reaction. There are no right or wrong answers.</t>
  </si>
  <si>
    <t>Total</t>
  </si>
  <si>
    <t>If you have never tried something, rate how willing you would be to explore it.</t>
  </si>
  <si>
    <t>Percent</t>
  </si>
  <si>
    <t>Try to answer every item. If you are truly stuck, skip and come back.</t>
  </si>
  <si>
    <t>Complete all 36 yellow cells before opening the Results Dashboard.</t>
  </si>
  <si>
    <t>★ Scale: 1 = Not Like Me   |   2 = A Little Like Me   |   3 = Mostly Like Me   |   4 = Very Like Me   (If untried: rate your willingness to try it)</t>
  </si>
  <si>
    <t>Clinical Care Path</t>
  </si>
  <si>
    <t xml:space="preserve"> Protection Path</t>
  </si>
  <si>
    <t xml:space="preserve"> Learning &amp; Support Path</t>
  </si>
  <si>
    <t>Build &amp; Fix Path</t>
  </si>
  <si>
    <t>STEM Systems Path</t>
  </si>
  <si>
    <t xml:space="preserve"> Business Growth &amp; Leadership Path</t>
  </si>
  <si>
    <t>Creative Path</t>
  </si>
  <si>
    <t xml:space="preserve"> Experience &amp; Service Path</t>
  </si>
  <si>
    <t>Outdoor Systems Path</t>
  </si>
  <si>
    <t>Your Rating (1–4)</t>
  </si>
  <si>
    <t>Question</t>
  </si>
  <si>
    <t>Item</t>
  </si>
  <si>
    <t>LifePath</t>
  </si>
  <si>
    <t>CC</t>
  </si>
  <si>
    <t>PR</t>
  </si>
  <si>
    <t>LS</t>
  </si>
  <si>
    <t>BF</t>
  </si>
  <si>
    <t>SS</t>
  </si>
  <si>
    <t>BG</t>
  </si>
  <si>
    <t>CR</t>
  </si>
  <si>
    <t>ES</t>
  </si>
  <si>
    <t>OS</t>
  </si>
  <si>
    <t>I'm curious about how the human body works and what helps people heal or recover.</t>
  </si>
  <si>
    <t>INT01</t>
  </si>
  <si>
    <t xml:space="preserve"> Clinical Care Path</t>
  </si>
  <si>
    <t>I like learning about health topics like nutrition, mental health, fitness, or injury prevention.</t>
  </si>
  <si>
    <t>INT02</t>
  </si>
  <si>
    <t>I’m interested in clinical or care settings (clinics, hospitals, therapy, wellness).</t>
  </si>
  <si>
    <t>INT03</t>
  </si>
  <si>
    <t>I enjoy activities where I support or look after someone who is sick, injured, or going through a hard time.</t>
  </si>
  <si>
    <t>INT04</t>
  </si>
  <si>
    <t>I'm curious about how laws, rights, and rules protect people in real situations.</t>
  </si>
  <si>
    <t>INT05</t>
  </si>
  <si>
    <t>Protection Path</t>
  </si>
  <si>
    <t>I enjoy learning about safety, emergency response, or protecting the public.</t>
  </si>
  <si>
    <t>INT06</t>
  </si>
  <si>
    <t>I’m interested in careers like policing, law, firefighting, or investigation.</t>
  </si>
  <si>
    <t>INT07</t>
  </si>
  <si>
    <t>I like piecing together what happened using clues, timelines, and evidence.</t>
  </si>
  <si>
    <t>INT08</t>
  </si>
  <si>
    <t>I enjoy helping someone practice or improve a skill and seeing them get better.</t>
  </si>
  <si>
    <t>INT09</t>
  </si>
  <si>
    <t>Learning &amp; Support Path</t>
  </si>
  <si>
    <t>I’m curious about how kids, teens, or groups learn and grow.</t>
  </si>
  <si>
    <t>INT10</t>
  </si>
  <si>
    <t>I enjoy settings like classrooms, youth programs, or community centers where I help others learn or grow.</t>
  </si>
  <si>
    <t>INT11</t>
  </si>
  <si>
    <t>I enjoy figuring out people-problems—like how to motivate someone, resolve conflict, or build confidence.</t>
  </si>
  <si>
    <t>INT12</t>
  </si>
  <si>
    <t>I enjoy building, fixing, or making things with my hands.</t>
  </si>
  <si>
    <t>INT13</t>
  </si>
  <si>
    <t>I’m interested in how tools, machines, or structures are put together.</t>
  </si>
  <si>
    <t>INT14</t>
  </si>
  <si>
    <t>I like settings with tools, equipment, machinery, or hands-on making spaces.</t>
  </si>
  <si>
    <t>INT15</t>
  </si>
  <si>
    <t>I enjoy challenges that involve tools, materials, or equipment—and seeing what I built or fixed when I'm done.</t>
  </si>
  <si>
    <t>INT16</t>
  </si>
  <si>
    <t>I enjoy figuring out how devices, software, or systems work behind the scenes.</t>
  </si>
  <si>
    <t>INT17</t>
  </si>
  <si>
    <t xml:space="preserve"> STEM Systems Path</t>
  </si>
  <si>
    <t>I’m interested in engineering, coding, robotics, or design.</t>
  </si>
  <si>
    <t>INT18</t>
  </si>
  <si>
    <t>I like tech-focused settings (labs, makerspaces, computers, equipment).</t>
  </si>
  <si>
    <t>INT19</t>
  </si>
  <si>
    <t>I enjoy logic puzzles, data patterns, and problem-solving challenges.</t>
  </si>
  <si>
    <t>INT20</t>
  </si>
  <si>
    <t>I'm interested in how businesses and organizations grow, improve, and make decisions.</t>
  </si>
  <si>
    <t>INT21</t>
  </si>
  <si>
    <t>I enjoy planning projects, setting goals, and seeing measurable results.</t>
  </si>
  <si>
    <t>INT22</t>
  </si>
  <si>
    <t>I like leadership settings (teams, clubs, organizing, running things).</t>
  </si>
  <si>
    <t>INT23</t>
  </si>
  <si>
    <t>I enjoy solving system problems—like improving how something works, is organized, or uses resources.</t>
  </si>
  <si>
    <t>INT24</t>
  </si>
  <si>
    <t>I enjoy creating stories, visuals, music, or content that shares an idea or feeling with others.</t>
  </si>
  <si>
    <t>INT25</t>
  </si>
  <si>
    <t>I’m interested in media, communication, design, or performance.</t>
  </si>
  <si>
    <t>INT26</t>
  </si>
  <si>
    <t>I like creative settings (studio, stage, writing, filming, editing, design).</t>
  </si>
  <si>
    <t>INT27</t>
  </si>
  <si>
    <t>I enjoy creating something original—a design, story, image, song, or performance—and sharing it with others.</t>
  </si>
  <si>
    <t>INT28</t>
  </si>
  <si>
    <t>I enjoy fast-paced places where I help people, keep things moving, and solve small problems on the spot.</t>
  </si>
  <si>
    <t>INT29</t>
  </si>
  <si>
    <t>Experience &amp; Service Path</t>
  </si>
  <si>
    <t>I’m interested in hospitality, events, travel, food, retail, or customer service.</t>
  </si>
  <si>
    <t>INT30</t>
  </si>
  <si>
    <t>I like people-facing settings where teamwork, timing, and communication matter.</t>
  </si>
  <si>
    <t>INT31</t>
  </si>
  <si>
    <t>I enjoy helping someone have a better experience by solving small problems.</t>
  </si>
  <si>
    <t>INT32</t>
  </si>
  <si>
    <t>I enjoy being outdoors and working directly with nature, animals, or the land.</t>
  </si>
  <si>
    <t>INT33</t>
  </si>
  <si>
    <t>I'm curious about how ecosystems, wildlife, weather, and environmental systems work.</t>
  </si>
  <si>
    <t>INT34</t>
  </si>
  <si>
    <t>I like outdoor settings like parks, farms, rivers, trails, or conservation areas.</t>
  </si>
  <si>
    <t>INT35</t>
  </si>
  <si>
    <t>I enjoy hands-on nature work like growing, caring for, restoring, or protecting natural areas.</t>
  </si>
  <si>
    <t>INT36</t>
  </si>
  <si>
    <t>RESULTS SUMMARY</t>
  </si>
  <si>
    <t>LifePath Type</t>
  </si>
  <si>
    <t>Composite Score (0–100)</t>
  </si>
  <si>
    <t>Fit Level</t>
  </si>
  <si>
    <t>Score (0–100)</t>
  </si>
  <si>
    <t>Business Growth &amp; Leadership Path</t>
  </si>
  <si>
    <t>TOP 3 FITS</t>
  </si>
  <si>
    <t>Rank</t>
  </si>
  <si>
    <t>RESULTS VISUAL</t>
  </si>
  <si>
    <t>STRENGTHS – WHAT YOU CAN DO WELL</t>
  </si>
  <si>
    <t>Rate how true each statement is for you right now.</t>
  </si>
  <si>
    <t>If you have not tried something yet, rate how confident you feel you could learn it.</t>
  </si>
  <si>
    <t>Think about real examples from school, home, sports, work, or activities.</t>
  </si>
  <si>
    <t>Answer honestly — this is for you, not for a grade.</t>
  </si>
  <si>
    <t>I can notice early warning signs that someone's health or safety is at risk and suggest a safe next step.</t>
  </si>
  <si>
    <t>STR01</t>
  </si>
  <si>
    <t>I can help someone feel calmer or more at ease when they're stressed, upset, or unwell.</t>
  </si>
  <si>
    <t>STR02</t>
  </si>
  <si>
    <t>I can follow careful procedures—like checking, documenting, or cleaning—so mistakes don't happen.</t>
  </si>
  <si>
    <t>STR03</t>
  </si>
  <si>
    <t>I can stay focused on details even when the situation feels serious or emotional.</t>
  </si>
  <si>
    <t>STR04</t>
  </si>
  <si>
    <t>I can stay calm and communicate clearly when there is conflict, urgency, or pressure.</t>
  </si>
  <si>
    <t>STR05</t>
  </si>
  <si>
    <t>I can explain a rule or boundary in a way that feels fair and firm without being harsh.</t>
  </si>
  <si>
    <t>STR06</t>
  </si>
  <si>
    <t>I can gather facts, check details, and describe events in the right order.</t>
  </si>
  <si>
    <t>STR07</t>
  </si>
  <si>
    <t>I can make quick, safety-first decisions when something unexpected happens.</t>
  </si>
  <si>
    <t>STR08</t>
  </si>
  <si>
    <t>I can break a skill down into clear, small steps that someone else can actually follow and learn.</t>
  </si>
  <si>
    <t>STR09</t>
  </si>
  <si>
    <t>I can encourage someone who’s struggling without judging them.</t>
  </si>
  <si>
    <t>STR10</t>
  </si>
  <si>
    <t>I can plan a simple activity, lesson, or group session so people know what to do and why.</t>
  </si>
  <si>
    <t>STR11</t>
  </si>
  <si>
    <t>I can notice what a person needs (support, challenge, or a break) and adjust my approach.</t>
  </si>
  <si>
    <t>STR12</t>
  </si>
  <si>
    <t>I can build, assemble, or repair something by reading a plan, following steps, and checking my work.</t>
  </si>
  <si>
    <t>STR13</t>
  </si>
  <si>
    <t>I can work with a partner on a hands-on job and communicate clearly about next steps.</t>
  </si>
  <si>
    <t>STR14</t>
  </si>
  <si>
    <t>I can measure, line up, and fine-tune details so the final result fits and works.</t>
  </si>
  <si>
    <t>STR15</t>
  </si>
  <si>
    <t>I can troubleshoot a problem by testing different fixes safely until one works.</t>
  </si>
  <si>
    <t>STR16</t>
  </si>
  <si>
    <t>I can analyze a technical problem by breaking it into smaller parts and testing each one to find the answer.</t>
  </si>
  <si>
    <t>STR17</t>
  </si>
  <si>
    <t>I can explain a tech idea simply so others understand what’s happening.</t>
  </si>
  <si>
    <t>STR18</t>
  </si>
  <si>
    <t>I can test a system, find the cause of an issue, and improve it using evidence.</t>
  </si>
  <si>
    <t>STR19</t>
  </si>
  <si>
    <t>I can learn a new tool by experimenting, reading directions, and trying again.</t>
  </si>
  <si>
    <t>STR20</t>
  </si>
  <si>
    <t>I can identify what a team or project needs, organize a plan to get there, and keep people on track until it's finished.</t>
  </si>
  <si>
    <t>STR21</t>
  </si>
  <si>
    <t>I can give a group clear direction and help people stay focused and on track.</t>
  </si>
  <si>
    <t>STR22</t>
  </si>
  <si>
    <t>I can compare options (time, cost, impact) and choose the best one.</t>
  </si>
  <si>
    <t>STR23</t>
  </si>
  <si>
    <t>I can spot inefficiencies in a business process or team workflow and suggest a practical fix that saves time or resources.</t>
  </si>
  <si>
    <t>STR24</t>
  </si>
  <si>
    <t>I can produce something that communicates an idea—through writing, design, video, music, or art.</t>
  </si>
  <si>
    <t>STR25</t>
  </si>
  <si>
    <t>I can match my message to the audience so it makes sense to them.</t>
  </si>
  <si>
    <t>STR26</t>
  </si>
  <si>
    <t>I can improve my work by revising and polishing, not just finishing fast.</t>
  </si>
  <si>
    <t>STR27</t>
  </si>
  <si>
    <t>I can share or present my work clearly in front of others, even if I feel some nerves.</t>
  </si>
  <si>
    <t>STR28</t>
  </si>
  <si>
    <t>I can welcome people warmly and quickly help them feel comfortable and at ease.</t>
  </si>
  <si>
    <t>STR29</t>
  </si>
  <si>
    <t>I can handle a complaint by listening, staying calm, and finding a fair fix.</t>
  </si>
  <si>
    <t>STR30</t>
  </si>
  <si>
    <t>I can stay organized across multiple tasks in a busy or active setting.</t>
  </si>
  <si>
    <t>STR31</t>
  </si>
  <si>
    <t>I can notice what needs to happen next (restock, clean, reset, or update) without being told.</t>
  </si>
  <si>
    <t>STR32</t>
  </si>
  <si>
    <t>I can care for plants or animals by noticing needs and following routines.</t>
  </si>
  <si>
    <t>STR33</t>
  </si>
  <si>
    <t>I can work safely outdoors by paying attention to weather, tools, and risks.</t>
  </si>
  <si>
    <t>STR34</t>
  </si>
  <si>
    <t>I can watch nature carefully and record changes, patterns, or signs of impact over time.</t>
  </si>
  <si>
    <t>STR35</t>
  </si>
  <si>
    <t>I make choices that protect land, water, and living things—reduce waste, prevent damage, follow rules.</t>
  </si>
  <si>
    <t>STR36</t>
  </si>
  <si>
    <t>DRIVERS (FUEL) – WHY YOU CARE</t>
  </si>
  <si>
    <t>Rate how true each motivator feels for you right now.</t>
  </si>
  <si>
    <t>Think about what actually energizes you, not what you think you should care about.</t>
  </si>
  <si>
    <t>There are no right or wrong answers — everyone is motivated by different things.</t>
  </si>
  <si>
    <t>Answer honestly and do not overthink your responses.</t>
  </si>
  <si>
    <t>Driver Statement</t>
  </si>
  <si>
    <t>I feel fulfilled when my work directly helps someone heal, recover, or stay healthier.</t>
  </si>
  <si>
    <t>DRV01</t>
  </si>
  <si>
    <t>I'm motivated when I help someone recover from illness, injury, or a health crisis.</t>
  </si>
  <si>
    <t>DRV02</t>
  </si>
  <si>
    <t>I'm motivated to keep learning so I can give better care and catch things other people might miss.</t>
  </si>
  <si>
    <t>DRV03</t>
  </si>
  <si>
    <t>I’m motivated when I keep learning skills that make my care more effective.</t>
  </si>
  <si>
    <t>DRV04</t>
  </si>
  <si>
    <t>I feel a strong sense of purpose when I help prevent harm or protect people from danger.</t>
  </si>
  <si>
    <t>DRV05</t>
  </si>
  <si>
    <t>It matters deeply to me to stand up for what's fair—even when it's hard.</t>
  </si>
  <si>
    <t>DRV06</t>
  </si>
  <si>
    <t>I want to be the kind of person who stays steady under pressure.</t>
  </si>
  <si>
    <t>DRV07</t>
  </si>
  <si>
    <t>I’m motivated when my work improves trust and safety in the community.</t>
  </si>
  <si>
    <t>DRV08</t>
  </si>
  <si>
    <t>I feel fulfilled when someone grows more confident or capable because I helped them.</t>
  </si>
  <si>
    <t>DRV09</t>
  </si>
  <si>
    <t>It matters to me that people feel supported and respected while they're learning, not judged.</t>
  </si>
  <si>
    <t>DRV10</t>
  </si>
  <si>
    <t>I feel motivated when I help someone see a path forward—whether that's a student finding their confidence or a person getting connected to help they need.</t>
  </si>
  <si>
    <t>DRV11</t>
  </si>
  <si>
    <t>I'm motivated when I can contribute to stronger, more connected groups or communities over time.</t>
  </si>
  <si>
    <t>DRV12</t>
  </si>
  <si>
    <t>I feel proud when I build or fix something people can rely on every day.</t>
  </si>
  <si>
    <t>DRV13</t>
  </si>
  <si>
    <t>It matters to me to do quality work that lasts and keeps people safe.</t>
  </si>
  <si>
    <t>DRV14</t>
  </si>
  <si>
    <t>I want to be known as dependable, practical, and good with my hands.</t>
  </si>
  <si>
    <t>DRV15</t>
  </si>
  <si>
    <t>I'm motivated when I master a new trade skill—like welding a better joint, reading a blueprint faster, or operating new equipment.</t>
  </si>
  <si>
    <t>DRV16</t>
  </si>
  <si>
    <t>I feel proud when I finish work that is accurate, reliable, and clearly worth the effort.</t>
  </si>
  <si>
    <t>DRV17</t>
  </si>
  <si>
    <t>It matters to me to improve systems so they are safer, smarter, or more efficient.</t>
  </si>
  <si>
    <t>DRV18</t>
  </si>
  <si>
    <t>I want to be someone who keeps learning and stays current as technology and methods evolve.</t>
  </si>
  <si>
    <t>DRV19</t>
  </si>
  <si>
    <t>I’m motivated when my ideas create long-term improvements, not just quick fixes.</t>
  </si>
  <si>
    <t>DRV20</t>
  </si>
  <si>
    <t>I feel purpose when a plan I helped create—a business goal, project budget, or team strategy—actually works and shows results.</t>
  </si>
  <si>
    <t>DRV21</t>
  </si>
  <si>
    <t>It matters to me to make wise choices with time, money, and resources.</t>
  </si>
  <si>
    <t>DRV22</t>
  </si>
  <si>
    <t>I want to lead in a way that is honest and fair—getting results without cutting corners.</t>
  </si>
  <si>
    <t>DRV23</t>
  </si>
  <si>
    <t>I'm motivated when I help grow something bigger than myself—a business, a program, a team—that keeps running and thriving over time.</t>
  </si>
  <si>
    <t>DRV24</t>
  </si>
  <si>
    <t>I feel fulfilled when something I created helps people understand, feel, or see something in a new way.</t>
  </si>
  <si>
    <t>DRV25</t>
  </si>
  <si>
    <t>It matters to me that my creative work—writing, design, or visuals—communicates an idea so clearly that people immediately feel or understand it.</t>
  </si>
  <si>
    <t>DRV26</t>
  </si>
  <si>
    <t>I want to create work that feels true to who I am, not copied from others.</t>
  </si>
  <si>
    <t>DRV27</t>
  </si>
  <si>
    <t>I'm motivated when I keep improving my craft and feel my work getting stronger over time.</t>
  </si>
  <si>
    <t>DRV28</t>
  </si>
  <si>
    <t>I feel fulfilled when people feel welcomed, respected, and cared for.</t>
  </si>
  <si>
    <t>DRV29</t>
  </si>
  <si>
    <t>It matters to me to solve problems calmly so others have a better experience.</t>
  </si>
  <si>
    <t>DRV30</t>
  </si>
  <si>
    <t>I want to be the kind of person who stays kind and helpful under stress.</t>
  </si>
  <si>
    <t>DRV31</t>
  </si>
  <si>
    <t>I'm motivated when a place runs smoothly, people are satisfied, and I played a part in making that happen.</t>
  </si>
  <si>
    <t>DRV32</t>
  </si>
  <si>
    <t>It matters to me to protect nature and keep land and water healthy for the future.</t>
  </si>
  <si>
    <t>DRV33</t>
  </si>
  <si>
    <t>I feel connected and energized when I work outdoors and can sense the natural world around me.</t>
  </si>
  <si>
    <t>DRV34</t>
  </si>
  <si>
    <t>I want to be someone who actively works to protect ecosystems, reduce harm to animals, and leave the land in better shape than I found it.</t>
  </si>
  <si>
    <t>DRV35</t>
  </si>
  <si>
    <t>I'm motivated by work that supports long-term sustainability, even when results take time to show.</t>
  </si>
  <si>
    <t>DRV36</t>
  </si>
  <si>
    <t>CORE MOTIVATORS (ACROSS ALL PATHS) – Not part of LifePath scores</t>
  </si>
  <si>
    <t>Motivator Statement</t>
  </si>
  <si>
    <t>Category</t>
  </si>
  <si>
    <t>I want my work to help people in real, practical ways.</t>
  </si>
  <si>
    <t>M01</t>
  </si>
  <si>
    <t>Helping People</t>
  </si>
  <si>
    <t>I like solving problems and making things work better.</t>
  </si>
  <si>
    <t>M02</t>
  </si>
  <si>
    <t>Problem Solving</t>
  </si>
  <si>
    <t>Motivator Average</t>
  </si>
  <si>
    <t>WORK STYLE &amp; ENVIRONMENT – WHAT WORK FEELS LIKE</t>
  </si>
  <si>
    <t>Rate each statement for what you would want on MOST work days — not just your best or worst day.
This section is about preferred conditions, not current abilities.
If two answers both feel true, choose what you would want MOST days.</t>
  </si>
  <si>
    <t>Tip: Colors show the group for each statement. Look for patterns in your ratings.</t>
  </si>
  <si>
    <t>LifePath mapping (Primary/Secondary)</t>
  </si>
  <si>
    <t>Secondary weight (adaptive)</t>
  </si>
  <si>
    <t>Condition statement</t>
  </si>
  <si>
    <t>Construct</t>
  </si>
  <si>
    <t>Reverse?</t>
  </si>
  <si>
    <t>Scored</t>
  </si>
  <si>
    <t>ConstructCode</t>
  </si>
  <si>
    <t>Primary 1</t>
  </si>
  <si>
    <t>Primary 2</t>
  </si>
  <si>
    <t>Secondary</t>
  </si>
  <si>
    <t>Secondary Weight</t>
  </si>
  <si>
    <t>ItemWeight</t>
  </si>
  <si>
    <t>I'm comfortable following detailed steps and procedures, even when they feel repetitive.</t>
  </si>
  <si>
    <t>CON01</t>
  </si>
  <si>
    <t>Structure &amp; Clarity</t>
  </si>
  <si>
    <t>Pace_Change</t>
  </si>
  <si>
    <t>I like work that has clear standards I can measure my performance against.</t>
  </si>
  <si>
    <t>CON02</t>
  </si>
  <si>
    <t>I’m okay starting without clear steps and figuring it out as I go.</t>
  </si>
  <si>
    <t>CON03</t>
  </si>
  <si>
    <t>R</t>
  </si>
  <si>
    <t>I enjoy days where I have to respond quickly to what comes up.</t>
  </si>
  <si>
    <t>CON04</t>
  </si>
  <si>
    <t>Pace &amp; Urgency</t>
  </si>
  <si>
    <t>I like being in situations where I have to act quickly, even if it means I might make a small mistake.</t>
  </si>
  <si>
    <t>CON05</t>
  </si>
  <si>
    <t>Pressure_Responsibility</t>
  </si>
  <si>
    <t>I do my best work when I’m not rushed and can take my time to think.</t>
  </si>
  <si>
    <t>CON06</t>
  </si>
  <si>
    <t>I strongly prefer to avoid conflict or tense situations whenever possible.</t>
  </si>
  <si>
    <t>CON07</t>
  </si>
  <si>
    <t>Protection Contra</t>
  </si>
  <si>
    <t>I'm okay repeating a process over and over to get really skilled at it.</t>
  </si>
  <si>
    <t>CON08</t>
  </si>
  <si>
    <t>Variety vs Routine</t>
  </si>
  <si>
    <t>I'm comfortable working within a clear chain of command where roles and authority are defined.</t>
  </si>
  <si>
    <t>CON09</t>
  </si>
  <si>
    <t>Protection Signature</t>
  </si>
  <si>
    <t>Structure_Rules</t>
  </si>
  <si>
    <t>I like jobs where talking with people is a big part of the day.</t>
  </si>
  <si>
    <t>CON10</t>
  </si>
  <si>
    <t>Social Energy</t>
  </si>
  <si>
    <t>I do my best work in a quieter setting where I don't have to interact constantly.</t>
  </si>
  <si>
    <t>CON11</t>
  </si>
  <si>
    <t>I believe rules and standards should be applied consistently—even when it's unpopular.</t>
  </si>
  <si>
    <t>CON12</t>
  </si>
  <si>
    <t>I prefer working closely with teammates throughout the day rather than doing most of my work independently.</t>
  </si>
  <si>
    <t>CON13</t>
  </si>
  <si>
    <t>Teamwork vs Solo Focus</t>
  </si>
  <si>
    <t>Detail_Documentation</t>
  </si>
  <si>
    <t>I prefer doing my part independently and checking in later.</t>
  </si>
  <si>
    <t>CON14</t>
  </si>
  <si>
    <t>I like solving problems by talking them through with others and building on each other's ideas.</t>
  </si>
  <si>
    <t>CON15</t>
  </si>
  <si>
    <t>I do my best work when I can choose my own approach to getting something done.</t>
  </si>
  <si>
    <t>CON16</t>
  </si>
  <si>
    <t>Independence &amp; Autonomy</t>
  </si>
  <si>
    <t>I do best when someone gives me clear steps to follow.</t>
  </si>
  <si>
    <t>CON17</t>
  </si>
  <si>
    <t>Social_Energy</t>
  </si>
  <si>
    <t>I like being responsible for the whole outcome, not just one piece.</t>
  </si>
  <si>
    <t>CON18</t>
  </si>
  <si>
    <t>I can stay composed and think clearly when the stakes feel high.</t>
  </si>
  <si>
    <t>CON19</t>
  </si>
  <si>
    <t>Comfort With Pressure</t>
  </si>
  <si>
    <t>When things get urgent, it’s hard for me to stay steady and think clearly.</t>
  </si>
  <si>
    <t>CON20</t>
  </si>
  <si>
    <t>I can keep making clear-headed decisions even when the emotional stakes are high—like when someone is angry or in trouble.</t>
  </si>
  <si>
    <t>CON21</t>
  </si>
  <si>
    <t>Conflict_Firmness</t>
  </si>
  <si>
    <t>I can stay calm and respectful during a tense or confrontational situation with another person.</t>
  </si>
  <si>
    <t>CON22</t>
  </si>
  <si>
    <t>Frequent interruptions make it hard for me to do my best work.</t>
  </si>
  <si>
    <t>CON23</t>
  </si>
  <si>
    <t>Attention Environment</t>
  </si>
  <si>
    <t>I can keep my attention on my task even in a busy place.</t>
  </si>
  <si>
    <t>CON24</t>
  </si>
  <si>
    <t>I prefer work where I’m moving around, not sitting all day.</t>
  </si>
  <si>
    <t>CON25</t>
  </si>
  <si>
    <t>Work Setting</t>
  </si>
  <si>
    <t>Sensory_BusyNoise</t>
  </si>
  <si>
    <t>I prefer desk-based work where I’m mostly in one place.</t>
  </si>
  <si>
    <t>CON26</t>
  </si>
  <si>
    <t>I don’t mind working in weather or changing outdoor conditions.</t>
  </si>
  <si>
    <t>CON27</t>
  </si>
  <si>
    <t>I prefer solving problems using facts, data, or careful planning rather than gut instinct.</t>
  </si>
  <si>
    <t>CON28</t>
  </si>
  <si>
    <t>Problem Style</t>
  </si>
  <si>
    <t>I prefer hands-on tasks like building, fixing, or operating equipment.</t>
  </si>
  <si>
    <t>CON29</t>
  </si>
  <si>
    <t>Physical_HandsOn</t>
  </si>
  <si>
    <t>I prefer solving problems by creating something new—like sketching a solution, writing a plan, or designing a better process.</t>
  </si>
  <si>
    <t>CON30</t>
  </si>
  <si>
    <t>I like receiving feedback during a project so I can adjust and improve as I go.</t>
  </si>
  <si>
    <t>CON31</t>
  </si>
  <si>
    <t>Feedback &amp; Support</t>
  </si>
  <si>
    <t>I remember details well and can write down what happened clearly and accurately.</t>
  </si>
  <si>
    <t>CON32</t>
  </si>
  <si>
    <t>Regular coaching or check-ins help me do my best.</t>
  </si>
  <si>
    <t>CON33</t>
  </si>
  <si>
    <t>Schedule_Flex</t>
  </si>
  <si>
    <t>Even when it takes longer, I prefer doing something the right way over the fast way.</t>
  </si>
  <si>
    <t>CON34</t>
  </si>
  <si>
    <t>Quality vs Speed</t>
  </si>
  <si>
    <t>I find it hard to hold firm boundaries or enforce rules when someone pushes back.</t>
  </si>
  <si>
    <t>CON35</t>
  </si>
  <si>
    <t>I double-check details before declaring something finished.</t>
  </si>
  <si>
    <t>CON36</t>
  </si>
  <si>
    <t>WORK STYLE &amp; ENVIRONMENT SCORES (0–100)</t>
  </si>
  <si>
    <t>WHAT THIS MEANS</t>
  </si>
  <si>
    <t>Code</t>
  </si>
  <si>
    <t>Structure_Clarity</t>
  </si>
  <si>
    <t>Pace_Urgency</t>
  </si>
  <si>
    <t>Variety_Routine</t>
  </si>
  <si>
    <t>Teamwork_Solo</t>
  </si>
  <si>
    <t>Autonomy</t>
  </si>
  <si>
    <t>Pressure_Comfort</t>
  </si>
  <si>
    <t>Attention_Environment</t>
  </si>
  <si>
    <t>Work_Setting</t>
  </si>
  <si>
    <t>Problem_Style</t>
  </si>
  <si>
    <t>Feedback_Support</t>
  </si>
  <si>
    <t>Quality_Speed</t>
  </si>
  <si>
    <t>WORK STYLE &amp; ENVIRONMENT FIT SUMMARY</t>
  </si>
  <si>
    <t>Work Style &amp; Environment Fit (0–100)</t>
  </si>
  <si>
    <t>Raw WS LifePath Fit (0–100)</t>
  </si>
  <si>
    <t>Protection signature (3–4 count)</t>
  </si>
  <si>
    <t>Item 1 row</t>
  </si>
  <si>
    <t>Item 2 row</t>
  </si>
  <si>
    <t>Item 3 row</t>
  </si>
  <si>
    <t>Item 4 row</t>
  </si>
  <si>
    <t>Item1 code</t>
  </si>
  <si>
    <t>Item2 code</t>
  </si>
  <si>
    <t>Item3 code</t>
  </si>
  <si>
    <t>Item4 code</t>
  </si>
  <si>
    <t>Item1 construct</t>
  </si>
  <si>
    <t>Item2 construct</t>
  </si>
  <si>
    <t>Item3 construct</t>
  </si>
  <si>
    <t>Item4 construct</t>
  </si>
  <si>
    <t>I like having clear instructions and clear expectations.</t>
  </si>
  <si>
    <t>I like work that moves fast.</t>
  </si>
  <si>
    <t>I like having lots of interaction with people during the day.</t>
  </si>
  <si>
    <t>I can stay calm when the stakes feel high.</t>
  </si>
  <si>
    <t>I like working closely with a team to get things done.</t>
  </si>
  <si>
    <t>I like getting quick feedback so I can improve.</t>
  </si>
  <si>
    <t>I like solving problems by thinking, analyzing, or planning.</t>
  </si>
  <si>
    <t>I would rather be accurate than fast.</t>
  </si>
  <si>
    <t>I’m okay switching between tasks during the day.</t>
  </si>
  <si>
    <t>I like having variety in my day.</t>
  </si>
  <si>
    <t>I like having freedom to choose how I do my work.</t>
  </si>
  <si>
    <t>Builder Note (optional): Construct codes for master integration</t>
  </si>
  <si>
    <t>Student Label</t>
  </si>
  <si>
    <t>LifePath Results – Your Exploration Snapshot</t>
  </si>
  <si>
    <t>These results show your strongest starting points right now — not a final answer. Use them to explore, ask questions, and try things. Your scores can shift as you grow.</t>
  </si>
  <si>
    <t>Completion Check</t>
  </si>
  <si>
    <t>Section Weights (edit if needed)</t>
  </si>
  <si>
    <t>Your Top 3 Starting Points</t>
  </si>
  <si>
    <t>Interests</t>
  </si>
  <si>
    <t>Interests weight</t>
  </si>
  <si>
    <t>Overall</t>
  </si>
  <si>
    <t>Strengths</t>
  </si>
  <si>
    <t>Strengths weight</t>
  </si>
  <si>
    <t>Drivers</t>
  </si>
  <si>
    <t>Drivers weight</t>
  </si>
  <si>
    <t>Work Style &amp; Environment</t>
  </si>
  <si>
    <t>Work Style &amp; Environment weight</t>
  </si>
  <si>
    <t>All sections complete?</t>
  </si>
  <si>
    <t>Check (should = 1.00)</t>
  </si>
  <si>
    <t>Why these showed up:</t>
  </si>
  <si>
    <t>Overall LifePath Fit (combined across sections)</t>
  </si>
  <si>
    <t>Work Style &amp; Environment Fit</t>
  </si>
  <si>
    <t>Signal Strength</t>
  </si>
  <si>
    <t>What this path is about</t>
  </si>
  <si>
    <t>Interests (weighted)</t>
  </si>
  <si>
    <t>Strengths (weighted)</t>
  </si>
  <si>
    <t>Drivers (weighted)</t>
  </si>
  <si>
    <t>Work Style &amp; Environment (weighted)</t>
  </si>
  <si>
    <t>Top Contributors</t>
  </si>
  <si>
    <t>Helping people heal through nursing, therapy, medicine, or mental health care. You work directly with patients in clinical settings using careful procedures and science-based methods.</t>
  </si>
  <si>
    <t>Keeping communities safe through policing, firefighting, emergency response, investigations, or legal compliance. You make decisions under pressure and uphold fairness and the rule of law.</t>
  </si>
  <si>
    <t>Helping others learn, grow, and overcome challenges through teaching, counseling, coaching, or community programs. You build trust over time and take pride in watching people progress.</t>
  </si>
  <si>
    <t>Building, repairing, and maintaining physical things using tools, equipment, and skilled techniques. You work in trades, construction, mechanics, manufacturing, or transportation.</t>
  </si>
  <si>
    <t>Solving real-world problems by designing, testing, and improving technical systems — software, engineering, robotics, data, or applied science. You enjoy logic, experimentation, and making things work better.</t>
  </si>
  <si>
    <t>Organizing people, plans, and resources to reach goals and grow organizations. You work in management, marketing, finance, entrepreneurship, or operations — making decisions that create results.</t>
  </si>
  <si>
    <t>Creating designs, stories, media, music, or content that connects with people and communicates ideas. You refine your craft, express original ideas, and take pride in work that has impact.</t>
  </si>
  <si>
    <t>Delivering great experiences through hospitality, food service, events, retail, or customer service. You stay friendly and focused in busy environments and take pride in making people's day better.</t>
  </si>
  <si>
    <t>Working outdoors with land, water, animals, and natural systems to grow food, manage resources, and protect the environment. You value hands-on work with long-term purpose and connection to nature.</t>
  </si>
  <si>
    <t>Top Paths to Explore (Top 3)</t>
  </si>
  <si>
    <t>Signal</t>
  </si>
  <si>
    <t>About this path</t>
  </si>
  <si>
    <t>Next Steps Summary (Layered — student-friendly)</t>
  </si>
  <si>
    <t>Use this to talk with a counselor/teacher/family. These are starting points, not a final answer.</t>
  </si>
  <si>
    <t>What your results mean</t>
  </si>
  <si>
    <t>Your top starting points</t>
  </si>
  <si>
    <t>Where you may thrive</t>
  </si>
  <si>
    <t>Check your Work Style snapshot. Your highest construct scores show the environments that tend to energize you (pace, people, structure, pressure). Use these to compare real options within your top paths.</t>
  </si>
  <si>
    <t>Try these next (pick 1–2 to start)</t>
  </si>
  <si>
    <t>Questions worth asking</t>
  </si>
  <si>
    <t>Coverage and confidence</t>
  </si>
  <si>
    <t>About lower scores</t>
  </si>
  <si>
    <t>A lower score does not mean you cannot succeed in that area — it means your current interests, strengths, and drivers point more strongly elsewhere. Scores shift as you try new things.</t>
  </si>
  <si>
    <t>Admin Settings (do not edit unless you are the assessment designer)</t>
  </si>
  <si>
    <t>Very Strong threshold</t>
  </si>
  <si>
    <t>Strong threshold</t>
  </si>
  <si>
    <t>Moderate threshold</t>
  </si>
  <si>
    <t>Emerging threshold</t>
  </si>
  <si>
    <t>Label (&gt;= Very Strong)</t>
  </si>
  <si>
    <t>Very Strong Fit</t>
  </si>
  <si>
    <t>Label (&gt;= Strong)</t>
  </si>
  <si>
    <t>Strong Fit</t>
  </si>
  <si>
    <t>Label (&gt;= Moderate)</t>
  </si>
  <si>
    <t>Moderate Fit</t>
  </si>
  <si>
    <t>Label (&gt;= Emerging)</t>
  </si>
  <si>
    <t>Emerging Fit</t>
  </si>
  <si>
    <t>Label (else)</t>
  </si>
  <si>
    <t>Low Fit</t>
  </si>
  <si>
    <t>Tie gap (points)</t>
  </si>
  <si>
    <t>Default weights (Exploration Mode)</t>
  </si>
  <si>
    <t>Conditions</t>
  </si>
  <si>
    <t>Construct Map (What this assessment measures)</t>
  </si>
  <si>
    <t>Short definitions so students, families, and schools know what the scores mean.</t>
  </si>
  <si>
    <t>Domain</t>
  </si>
  <si>
    <t>What it measures (plain language)</t>
  </si>
  <si>
    <t>What it does NOT claim</t>
  </si>
  <si>
    <t>How to use it (next-step idea)</t>
  </si>
  <si>
    <t>What you enjoy doing and would choose more often.</t>
  </si>
  <si>
    <t>Not “what you must do” or “what you’re best at.”</t>
  </si>
  <si>
    <t>Try 1–2 electives/clubs/tasks that match your top interest pattern.</t>
  </si>
  <si>
    <t>Skills you feel confident growing and using.</t>
  </si>
  <si>
    <t>Not grades, IQ, or a fixed ability label.</t>
  </si>
  <si>
    <t>Pick practice experiences (projects, volunteering, part-time tasks) that use your strengths.</t>
  </si>
  <si>
    <t>Drivers (Motivation)</t>
  </si>
  <si>
    <t>What makes work feel meaningful and worth the effort.</t>
  </si>
  <si>
    <t>Not a personality type or moral score.</t>
  </si>
  <si>
    <t>Use it to filter options: “Will this path feel meaningful to me?”</t>
  </si>
  <si>
    <t>Conditions (Work Style &amp; Environment)</t>
  </si>
  <si>
    <t>What work feels good day-to-day (pace, structure, people contact, etc.).</t>
  </si>
  <si>
    <t>Not a promise that you can’t do other environments.</t>
  </si>
  <si>
    <t>Aim for environments that match your conditions—or plan supports if they don’t.</t>
  </si>
  <si>
    <t>Overall Pattern (Exploration Fit)</t>
  </si>
  <si>
    <t>A blended snapshot across domains to suggest what to explore first.</t>
  </si>
  <si>
    <t>Not placement, prediction, or a final answer.</t>
  </si>
  <si>
    <t>Treat your top 2–3 as hypotheses: explore, reflect, update.</t>
  </si>
  <si>
    <t>Use Cases + Guardrails (School-defensible use)</t>
  </si>
  <si>
    <t>What this tool is for—and what it is not for.</t>
  </si>
  <si>
    <t>Guidance</t>
  </si>
  <si>
    <t>Details</t>
  </si>
  <si>
    <t>Intended use (OK):</t>
  </si>
  <si>
    <t>Career exploration conversations; planning electives; identifying environments to try; goal-setting for experiences; student reflection with teacher/counsellor/family.</t>
  </si>
  <si>
    <t>Not intended (NOT OK):</t>
  </si>
  <si>
    <t>Program placement decisions; denying opportunities; screening/diagnosis; deciding “the one career”; ranking students.</t>
  </si>
  <si>
    <t>Interpretation rule:</t>
  </si>
  <si>
    <t>Results are hypotheses. If two paths are close (within 5 points), treat them as a true tie and explore BOTH.</t>
  </si>
  <si>
    <t>Accessibility &amp; accommodation:</t>
  </si>
  <si>
    <t>Allow read-aloud; clarify words; provide examples; let students skip and return; support ELL learners with simpler synonyms.</t>
  </si>
  <si>
    <t>Data/privacy note:</t>
  </si>
  <si>
    <t>If used in schools, store results like other student learning artifacts (limited access; student-first sharing).</t>
  </si>
  <si>
    <t>Validation Plan (Reliability + Validity)</t>
  </si>
  <si>
    <t>A practical plan for building a gold-standard, school-ready assessment.</t>
  </si>
  <si>
    <t>Evidence Type</t>
  </si>
  <si>
    <t>What to do</t>
  </si>
  <si>
    <t>Success target (starter)</t>
  </si>
  <si>
    <t>When</t>
  </si>
  <si>
    <t>Content validity</t>
  </si>
  <si>
    <t>Have 5–10 experts (career counsellors, teachers, DEI, youth) rate each item for clarity + relevance; revise/remove weak items.</t>
  </si>
  <si>
    <t>≥ .80 agreement on relevance; zero “unclear” flags after revision.</t>
  </si>
  <si>
    <t>Before pilot</t>
  </si>
  <si>
    <t>Response process</t>
  </si>
  <si>
    <t>Student think-alouds (10–20 students): check if they interpret items as intended.</t>
  </si>
  <si>
    <t>≥ 90% interpret as intended; rewrite confusing items.</t>
  </si>
  <si>
    <t>Internal structure</t>
  </si>
  <si>
    <t>Factor analysis per domain; remove cross-loading or redundant items.</t>
  </si>
  <si>
    <t>Simple structure; stable factors; items load where expected.</t>
  </si>
  <si>
    <t>Pilot</t>
  </si>
  <si>
    <t>Reliability</t>
  </si>
  <si>
    <t>Internal consistency per scale + test–retest (2–4 weeks).</t>
  </si>
  <si>
    <t>Alpha/omega ~ .70–.90; test–retest ≥ .70 (context-dependent).</t>
  </si>
  <si>
    <t>Pilot + follow-up</t>
  </si>
  <si>
    <t>Fairness / bias</t>
  </si>
  <si>
    <t>DIF checks; measurement invariance across key groups (gender, ELL, SES proxies).</t>
  </si>
  <si>
    <t>No meaningful DIF; invariance acceptable for intended comparisons.</t>
  </si>
  <si>
    <t>After pilot</t>
  </si>
  <si>
    <t>Consequences</t>
  </si>
  <si>
    <t>Check how students/educators use results; monitor for harmful interpretations.</t>
  </si>
  <si>
    <t>High usefulness ratings; no evidence of harm/placement use.</t>
  </si>
  <si>
    <t>Ongoing</t>
  </si>
  <si>
    <t>Ongoing monitoring</t>
  </si>
  <si>
    <t>Annual refresh: item stats, missingness, completion time, feedback.</t>
  </si>
  <si>
    <t>Stable metrics; improved clarity year over year.</t>
  </si>
  <si>
    <t>Each school year</t>
  </si>
  <si>
    <t>Bias + Fairness Checklist (Item review)</t>
  </si>
  <si>
    <t>Use this to reduce bias and improve clarity before pilot testing.</t>
  </si>
  <si>
    <t>Check</t>
  </si>
  <si>
    <t>What to look for</t>
  </si>
  <si>
    <t>Pass?</t>
  </si>
  <si>
    <t>Notes</t>
  </si>
  <si>
    <t>One idea per item</t>
  </si>
  <si>
    <t>No double questions (e.g., “and/or”), no two skills at once.</t>
  </si>
  <si>
    <t>Accessible wording</t>
  </si>
  <si>
    <t>No jargon; words a grade 7–8 student knows; examples if needed.</t>
  </si>
  <si>
    <t>No privilege assumptions</t>
  </si>
  <si>
    <t>Avoid assuming money, travel, extracurricular access, certain home supports.</t>
  </si>
  <si>
    <t>Culturally neutral</t>
  </si>
  <si>
    <t>Avoid culture-specific norms; keep items broadly interpretable.</t>
  </si>
  <si>
    <t>Disability-aware</t>
  </si>
  <si>
    <t>Avoid items that punish disability; focus on preferences/supports, not deficits.</t>
  </si>
  <si>
    <t>Non-stigmatizing</t>
  </si>
  <si>
    <t>No shaming language; strengths-based and choice-expanding.</t>
  </si>
  <si>
    <t>Balanced domain coverage</t>
  </si>
  <si>
    <t>Each path/domain has similar breadth; no path is “more valued.”</t>
  </si>
  <si>
    <t>Sample Report Template (Layered outputs)</t>
  </si>
  <si>
    <t>Use this format to report results without ‘one-score’ labeling.</t>
  </si>
  <si>
    <t>Layer</t>
  </si>
  <si>
    <t>Template text / guidance</t>
  </si>
  <si>
    <t>1) What this means (student-friendly):</t>
  </si>
  <si>
    <t>In 2–4 sentences, explain the pattern you see across Interests, Strengths, Drivers, and Conditions.</t>
  </si>
  <si>
    <t>2) Hypotheses to explore (Top 2–3 paths):</t>
  </si>
  <si>
    <t>List top paths as “starting points to explore,” not final answers. Mention ties if within 5 points.</t>
  </si>
  <si>
    <t>3) Where you might thrive (environments):</t>
  </si>
  <si>
    <t>Describe 2–4 environment features (pace, structure, teamwork, hands-on, etc.) based on Conditions.</t>
  </si>
  <si>
    <t>4) Try next (experiments):</t>
  </si>
  <si>
    <t>3–6 small actions (class, club, job shadow, project, interview, volunteer).</t>
  </si>
  <si>
    <t>5) Questions to ask:</t>
  </si>
  <si>
    <t>Student + parent/mentor questions that deepen reflection (e.g., “When did I feel proud this week?”).</t>
  </si>
  <si>
    <t>6) Confidence &amp; coverage:</t>
  </si>
  <si>
    <t>Note completion + any ‘same-answer’ patterns; invite retake after new experiences.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</si>
</sst>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charset val="1"/>
    </font>
    <font>
      <b/>
      <sz val="16"/>
      <color rgb="FFFFFFFF"/>
      <name val="Calibri"/>
      <family val="2"/>
    </font>
    <font>
      <sz val="11"/>
      <color rgb="FFFFFFFF"/>
      <name val="Calibri"/>
      <family val="2"/>
    </font>
    <font>
      <b/>
      <sz val="11"/>
      <color rgb="FF1F2D3D"/>
      <name val="Calibri"/>
      <family val="2"/>
    </font>
    <font>
      <b/>
      <sz val="11"/>
      <name val="Calibri"/>
      <family val="2"/>
      <charset val="1"/>
    </font>
    <font>
      <sz val="11"/>
      <name val="Calibri"/>
      <family val="2"/>
      <charset val="1"/>
    </font>
    <font>
      <b/>
      <sz val="13"/>
      <color rgb="FF1F4B7A"/>
      <name val="Calibri"/>
      <family val="2"/>
    </font>
    <font>
      <sz val="11"/>
      <color rgb="FF1F2D3D"/>
      <name val="Calibri"/>
      <family val="2"/>
    </font>
    <font>
      <sz val="10"/>
      <color rgb="FF505050"/>
      <name val="Calibri"/>
      <family val="2"/>
    </font>
    <font>
      <i/>
      <u/>
      <sz val="10"/>
      <color rgb="FF4472C4"/>
      <name val="Calibri"/>
      <family val="2"/>
    </font>
    <font>
      <u/>
      <sz val="11"/>
      <color rgb="FF0563C1"/>
      <name val="Calibri"/>
      <family val="2"/>
      <charset val="1"/>
    </font>
    <font>
      <b/>
      <sz val="14"/>
      <color rgb="FFFFFFFF"/>
      <name val="Calibri"/>
      <family val="2"/>
    </font>
    <font>
      <b/>
      <sz val="11"/>
      <color rgb="FF1F4B7A"/>
      <name val="Calibri"/>
      <family val="2"/>
    </font>
    <font>
      <b/>
      <sz val="10"/>
      <name val="Calibri"/>
      <family val="2"/>
    </font>
    <font>
      <b/>
      <sz val="11"/>
      <color rgb="FFFFFFFF"/>
      <name val="Calibri"/>
      <family val="2"/>
    </font>
    <font>
      <b/>
      <sz val="10"/>
      <color rgb="FFFFFFFF"/>
      <name val="Arial"/>
      <family val="2"/>
    </font>
    <font>
      <b/>
      <sz val="12"/>
      <color rgb="FF1F4B7A"/>
      <name val="Calibri"/>
      <family val="2"/>
    </font>
    <font>
      <sz val="9"/>
      <color rgb="FF808080"/>
      <name val="Calibri"/>
      <family val="2"/>
    </font>
    <font>
      <sz val="10"/>
      <color rgb="FF404040"/>
      <name val="Calibri"/>
      <family val="2"/>
    </font>
    <font>
      <b/>
      <sz val="10"/>
      <color rgb="FF1F2D3D"/>
      <name val="Calibri"/>
      <family val="2"/>
    </font>
    <font>
      <sz val="10"/>
      <color rgb="FF1F2D3D"/>
      <name val="Calibri"/>
      <family val="2"/>
    </font>
    <font>
      <sz val="10"/>
      <color theme="1"/>
      <name val="Calibri"/>
      <family val="2"/>
    </font>
    <font>
      <b/>
      <sz val="9"/>
      <color rgb="FFFFFFFF"/>
      <name val="Arial"/>
      <family val="2"/>
    </font>
    <font>
      <b/>
      <sz val="10"/>
      <color rgb="FF666666"/>
      <name val="Calibri"/>
      <family val="2"/>
      <charset val="1"/>
    </font>
    <font>
      <sz val="10"/>
      <color rgb="FF666666"/>
      <name val="Calibri"/>
      <family val="2"/>
      <charset val="1"/>
    </font>
    <font>
      <b/>
      <sz val="10"/>
      <color rgb="FF1F497D"/>
      <name val="Arial"/>
      <family val="2"/>
    </font>
    <font>
      <b/>
      <sz val="11"/>
      <color rgb="FFFFFFFF"/>
      <name val="Arial"/>
      <family val="2"/>
    </font>
    <font>
      <b/>
      <sz val="10"/>
      <color rgb="FFFFFFFF"/>
      <name val="Arial"/>
      <family val="2"/>
      <charset val="1"/>
    </font>
    <font>
      <sz val="10"/>
      <color rgb="FF606060"/>
      <name val="Calibri"/>
      <family val="2"/>
    </font>
    <font>
      <b/>
      <sz val="9"/>
      <name val="Arial"/>
      <family val="2"/>
    </font>
    <font>
      <sz val="10"/>
      <name val="Arial"/>
      <family val="2"/>
    </font>
    <font>
      <b/>
      <sz val="13"/>
      <color rgb="FF1F2D3D"/>
      <name val="Calibri"/>
      <family val="2"/>
    </font>
    <font>
      <b/>
      <sz val="14"/>
      <name val="Calibri"/>
      <family val="2"/>
      <charset val="1"/>
    </font>
    <font>
      <i/>
      <sz val="10"/>
      <color rgb="FF1F2D3D"/>
      <name val="Calibri"/>
      <family val="2"/>
    </font>
    <font>
      <i/>
      <sz val="11"/>
      <color rgb="FFFFFFFF"/>
      <name val="Calibri"/>
      <family val="2"/>
      <charset val="1"/>
    </font>
    <font>
      <b/>
      <sz val="12"/>
      <color rgb="FF1F4E79"/>
      <name val="Calibri"/>
      <family val="2"/>
      <charset val="1"/>
    </font>
    <font>
      <b/>
      <sz val="18"/>
      <color rgb="FFFFFFFF"/>
      <name val="Calibri"/>
      <family val="2"/>
      <charset val="1"/>
    </font>
    <font>
      <sz val="11"/>
      <color rgb="FFFFFFFF"/>
      <name val="Calibri"/>
      <family val="2"/>
      <charset val="1"/>
    </font>
    <font>
      <b/>
      <sz val="11"/>
      <color rgb="FF1F4E79"/>
      <name val="Calibri"/>
      <family val="2"/>
      <charset val="1"/>
    </font>
  </fonts>
  <fills count="48">
    <fill>
      <patternFill patternType="none"/>
    </fill>
    <fill>
      <patternFill patternType="gray125"/>
    </fill>
    <fill>
      <patternFill patternType="solid">
        <fgColor rgb="FF30579C"/>
        <bgColor rgb="FF1F4B7A"/>
      </patternFill>
    </fill>
    <fill>
      <patternFill patternType="solid">
        <fgColor rgb="FFFFF2CC"/>
        <bgColor rgb="FFFFF0CC"/>
      </patternFill>
    </fill>
    <fill>
      <patternFill patternType="solid">
        <fgColor rgb="FFD6E4F0"/>
        <bgColor rgb="FFD9E1F2"/>
      </patternFill>
    </fill>
    <fill>
      <patternFill patternType="solid">
        <fgColor rgb="FFD9D9DD"/>
        <bgColor rgb="FFD0DEE8"/>
      </patternFill>
    </fill>
    <fill>
      <patternFill patternType="solid">
        <fgColor rgb="FF0E6EBD"/>
        <bgColor rgb="FF30579C"/>
      </patternFill>
    </fill>
    <fill>
      <patternFill patternType="solid">
        <fgColor rgb="FFDEEAF1"/>
        <bgColor rgb="FFDDEBFA"/>
      </patternFill>
    </fill>
    <fill>
      <patternFill patternType="solid">
        <fgColor rgb="FFFFF297"/>
        <bgColor rgb="FFFFF2CC"/>
      </patternFill>
    </fill>
    <fill>
      <patternFill patternType="solid">
        <fgColor rgb="FFF7F7F7"/>
        <bgColor rgb="FFF5F5F5"/>
      </patternFill>
    </fill>
    <fill>
      <patternFill patternType="solid">
        <fgColor rgb="FFEDE7F6"/>
        <bgColor rgb="FFF1E7F5"/>
      </patternFill>
    </fill>
    <fill>
      <patternFill patternType="solid">
        <fgColor rgb="FFE8F5E9"/>
        <bgColor rgb="FFE7F3EC"/>
      </patternFill>
    </fill>
    <fill>
      <patternFill patternType="solid">
        <fgColor rgb="FFFFF3E0"/>
        <bgColor rgb="FFFFF2CC"/>
      </patternFill>
    </fill>
    <fill>
      <patternFill patternType="solid">
        <fgColor rgb="FFE3F2FD"/>
        <bgColor rgb="FFE8F1FA"/>
      </patternFill>
    </fill>
    <fill>
      <patternFill patternType="solid">
        <fgColor rgb="FFFCE4EC"/>
        <bgColor rgb="FFFFEBEE"/>
      </patternFill>
    </fill>
    <fill>
      <patternFill patternType="solid">
        <fgColor rgb="FFF3E5F5"/>
        <bgColor rgb="FFF1E7F5"/>
      </patternFill>
    </fill>
    <fill>
      <patternFill patternType="solid">
        <fgColor rgb="FFE0F2F1"/>
        <bgColor rgb="FFE7F3EC"/>
      </patternFill>
    </fill>
    <fill>
      <patternFill patternType="solid">
        <fgColor rgb="FF1F4B7A"/>
        <bgColor rgb="FF30579C"/>
      </patternFill>
    </fill>
    <fill>
      <patternFill patternType="solid">
        <fgColor rgb="FFEAF3FB"/>
        <bgColor rgb="FFEBF3FB"/>
      </patternFill>
    </fill>
    <fill>
      <patternFill patternType="solid">
        <fgColor rgb="FFF2F7FC"/>
        <bgColor rgb="FFF0F4FA"/>
      </patternFill>
    </fill>
    <fill>
      <patternFill patternType="solid">
        <fgColor rgb="FFFAFAFA"/>
        <bgColor rgb="FFF7F7F7"/>
      </patternFill>
    </fill>
    <fill>
      <patternFill patternType="solid">
        <fgColor rgb="FFFFFFFF"/>
        <bgColor rgb="FFFAFAFA"/>
      </patternFill>
    </fill>
    <fill>
      <patternFill patternType="solid">
        <fgColor rgb="FFE8F1FA"/>
        <bgColor rgb="FFEAF3FB"/>
      </patternFill>
    </fill>
    <fill>
      <patternFill patternType="solid">
        <fgColor rgb="FFEFEFF3"/>
        <bgColor rgb="FFF0F4FA"/>
      </patternFill>
    </fill>
    <fill>
      <patternFill patternType="solid">
        <fgColor rgb="FF405B22"/>
        <bgColor rgb="FF3A5128"/>
      </patternFill>
    </fill>
    <fill>
      <patternFill patternType="solid">
        <fgColor rgb="FFE2EFDA"/>
        <bgColor rgb="FFD9EAD3"/>
      </patternFill>
    </fill>
    <fill>
      <patternFill patternType="solid">
        <fgColor rgb="FFD92E1B"/>
        <bgColor rgb="FF7030A0"/>
      </patternFill>
    </fill>
    <fill>
      <patternFill patternType="solid">
        <fgColor rgb="FFFCE4D9"/>
        <bgColor rgb="FFFCE4EC"/>
      </patternFill>
    </fill>
    <fill>
      <patternFill patternType="solid">
        <fgColor rgb="FFD92E1B"/>
        <bgColor rgb="FF7030A0"/>
      </patternFill>
    </fill>
    <fill>
      <patternFill patternType="solid">
        <fgColor rgb="FF7030A0"/>
        <bgColor rgb="FF30579C"/>
      </patternFill>
    </fill>
    <fill>
      <patternFill patternType="solid">
        <fgColor rgb="FFEAE3F1"/>
        <bgColor rgb="FFEDE7F6"/>
      </patternFill>
    </fill>
    <fill>
      <patternFill patternType="darkGray">
        <fgColor rgb="FFEFEFF3"/>
        <bgColor rgb="FFE7EEF8"/>
      </patternFill>
    </fill>
    <fill>
      <patternFill patternType="darkGray">
        <fgColor rgb="FFDDEBFA"/>
        <bgColor rgb="FFDEEAF1"/>
      </patternFill>
    </fill>
    <fill>
      <patternFill patternType="solid">
        <fgColor rgb="FFEAD1DC"/>
        <bgColor rgb="FFF4CCCC"/>
      </patternFill>
    </fill>
    <fill>
      <patternFill patternType="solid">
        <fgColor rgb="FFF8CBAD"/>
        <bgColor rgb="FFF4CCCC"/>
      </patternFill>
    </fill>
    <fill>
      <patternFill patternType="solid">
        <fgColor rgb="FFD9E1F2"/>
        <bgColor rgb="FFD6E4F0"/>
      </patternFill>
    </fill>
    <fill>
      <patternFill patternType="solid">
        <fgColor rgb="FFCFE2F3"/>
        <bgColor rgb="FFD6E4F0"/>
      </patternFill>
    </fill>
    <fill>
      <patternFill patternType="solid">
        <fgColor rgb="FFD0CECE"/>
        <bgColor rgb="FFBFCFDF"/>
      </patternFill>
    </fill>
    <fill>
      <patternFill patternType="solid">
        <fgColor rgb="FFE7F3EC"/>
        <bgColor rgb="FFE8F5E9"/>
      </patternFill>
    </fill>
    <fill>
      <patternFill patternType="solid">
        <fgColor rgb="FFF1E7F5"/>
        <bgColor rgb="FFF3E5F5"/>
      </patternFill>
    </fill>
    <fill>
      <patternFill patternType="solid">
        <fgColor rgb="FFFFEBEE"/>
        <bgColor rgb="FFFCE4EC"/>
      </patternFill>
    </fill>
    <fill>
      <patternFill patternType="mediumGray">
        <fgColor rgb="FFCFE2F3"/>
        <bgColor rgb="FFD0DEE8"/>
      </patternFill>
    </fill>
    <fill>
      <patternFill patternType="solid">
        <fgColor rgb="FFEBF3FB"/>
        <bgColor rgb="FFEBF3FC"/>
      </patternFill>
    </fill>
    <fill>
      <patternFill patternType="solid">
        <fgColor rgb="FFE7EEF8"/>
        <bgColor rgb="FFE8F1FA"/>
      </patternFill>
    </fill>
    <fill>
      <patternFill patternType="solid">
        <fgColor rgb="FFEBF3FC"/>
        <bgColor rgb="FFEBF3FB"/>
      </patternFill>
    </fill>
    <fill>
      <patternFill patternType="solid">
        <fgColor rgb="FFFFF0CC"/>
        <bgColor rgb="FFFFF2CC"/>
      </patternFill>
    </fill>
    <fill>
      <patternFill patternType="solid">
        <fgColor rgb="FFF5F5F5"/>
        <bgColor rgb="FFF7F7F7"/>
      </patternFill>
    </fill>
    <fill>
      <patternFill patternType="solid">
        <fgColor rgb="FFF0F4FA"/>
        <bgColor rgb="FFF2F7FC"/>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D9D9DD"/>
      </left>
      <right style="thin">
        <color rgb="FFD9D9DD"/>
      </right>
      <top style="thin">
        <color rgb="FFD9D9DD"/>
      </top>
      <bottom style="thin">
        <color rgb="FFD9D9DD"/>
      </bottom>
      <diagonal/>
    </border>
    <border>
      <left style="thin">
        <color rgb="FF1F4B7A"/>
      </left>
      <right style="thin">
        <color rgb="FF1F4B7A"/>
      </right>
      <top style="thin">
        <color rgb="FF1F4B7A"/>
      </top>
      <bottom style="thin">
        <color rgb="FF1F4B7A"/>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788F7E"/>
      </left>
      <right style="thin">
        <color rgb="FF788F7E"/>
      </right>
      <top style="thin">
        <color rgb="FF788F7E"/>
      </top>
      <bottom style="thin">
        <color rgb="FF788F7E"/>
      </bottom>
      <diagonal/>
    </border>
    <border>
      <left style="thin">
        <color rgb="FF152D41"/>
      </left>
      <right style="thin">
        <color rgb="FF152D41"/>
      </right>
      <top style="thin">
        <color rgb="FF152D41"/>
      </top>
      <bottom style="thin">
        <color rgb="FF152D41"/>
      </bottom>
      <diagonal/>
    </border>
    <border>
      <left style="thin">
        <color rgb="FFD0DEE8"/>
      </left>
      <right style="thin">
        <color rgb="FFD0DEE8"/>
      </right>
      <top style="thin">
        <color rgb="FFD0DEE8"/>
      </top>
      <bottom style="thin">
        <color rgb="FFD0DEE8"/>
      </bottom>
      <diagonal/>
    </border>
    <border>
      <left style="thin">
        <color rgb="FFBFCFDF"/>
      </left>
      <right style="thin">
        <color rgb="FFBFCFDF"/>
      </right>
      <top style="thin">
        <color rgb="FFBFCFDF"/>
      </top>
      <bottom style="thin">
        <color rgb="FFBFCFDF"/>
      </bottom>
      <diagonal/>
    </border>
    <border>
      <left style="thin">
        <color rgb="FFD0DEE8"/>
      </left>
      <right style="thin">
        <color rgb="FFD9D9DD"/>
      </right>
      <top style="thin">
        <color rgb="FFD0DEE8"/>
      </top>
      <bottom style="thin">
        <color rgb="FFD0DEE8"/>
      </bottom>
      <diagonal/>
    </border>
  </borders>
  <cellStyleXfs count="1">
    <xf numFmtId="0" fontId="0" fillId="0" borderId="0"/>
  </cellStyleXfs>
  <cellXfs count="236">
    <xf numFmtId="0" fontId="0" fillId="0" borderId="0" xfId="0"/>
    <xf numFmtId="0" fontId="19" fillId="5" borderId="0" xfId="0" applyFont="1" applyFill="1" applyAlignment="1">
      <alignment horizontal="left"/>
    </xf>
    <xf numFmtId="0" fontId="19" fillId="0" borderId="0" xfId="0" applyFont="1"/>
    <xf numFmtId="0" fontId="3" fillId="0" borderId="0" xfId="0" applyFont="1" applyAlignment="1">
      <alignment vertical="center"/>
    </xf>
    <xf numFmtId="0" fontId="4" fillId="0" borderId="0" xfId="0" applyFont="1" applyAlignment="1">
      <alignment vertical="center"/>
    </xf>
    <xf numFmtId="0" fontId="9" fillId="0" borderId="0" xfId="0" applyFont="1" applyAlignment="1">
      <alignment horizontal="left" vertical="center"/>
    </xf>
    <xf numFmtId="0" fontId="10" fillId="0" borderId="0" xfId="0" applyFont="1" applyAlignment="1">
      <alignment horizontal="left" vertical="center"/>
    </xf>
    <xf numFmtId="0" fontId="4" fillId="5" borderId="0" xfId="0" applyFont="1" applyFill="1" applyAlignment="1">
      <alignment horizontal="left"/>
    </xf>
    <xf numFmtId="0" fontId="7" fillId="0" borderId="0" xfId="0" applyFont="1" applyAlignment="1">
      <alignment horizontal="left" vertical="center" wrapText="1"/>
    </xf>
    <xf numFmtId="0" fontId="7" fillId="8" borderId="2" xfId="0" applyFont="1" applyFill="1" applyBorder="1" applyAlignment="1">
      <alignment horizontal="left" vertical="center" wrapText="1"/>
    </xf>
    <xf numFmtId="0" fontId="0" fillId="9" borderId="0" xfId="0" applyFill="1" applyAlignment="1">
      <alignment vertical="center" wrapText="1"/>
    </xf>
    <xf numFmtId="0" fontId="12" fillId="4" borderId="3" xfId="0" applyFont="1" applyFill="1" applyBorder="1" applyAlignment="1">
      <alignment horizontal="left" vertical="center" wrapText="1"/>
    </xf>
    <xf numFmtId="0" fontId="13" fillId="10" borderId="3"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3" fillId="14" borderId="3"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14" fillId="17" borderId="4" xfId="0" applyFont="1" applyFill="1" applyBorder="1" applyAlignment="1">
      <alignment horizontal="center" vertical="center"/>
    </xf>
    <xf numFmtId="0" fontId="15" fillId="6" borderId="2" xfId="0" applyFont="1" applyFill="1" applyBorder="1" applyAlignment="1">
      <alignment horizontal="center" vertical="center" wrapText="1"/>
    </xf>
    <xf numFmtId="1" fontId="16" fillId="18" borderId="2" xfId="0" applyNumberFormat="1" applyFont="1" applyFill="1" applyBorder="1" applyAlignment="1" applyProtection="1">
      <alignment horizontal="center" vertical="center"/>
      <protection locked="0"/>
    </xf>
    <xf numFmtId="0" fontId="7" fillId="19" borderId="0" xfId="0" applyFont="1" applyFill="1" applyAlignment="1">
      <alignment horizontal="left" vertical="center" wrapText="1"/>
    </xf>
    <xf numFmtId="0" fontId="17" fillId="20" borderId="0" xfId="0" applyFont="1" applyFill="1" applyAlignment="1">
      <alignment horizontal="center" vertical="center"/>
    </xf>
    <xf numFmtId="0" fontId="18" fillId="19" borderId="3" xfId="0" applyFont="1" applyFill="1" applyBorder="1" applyAlignment="1">
      <alignment horizontal="left" vertical="center" wrapText="1"/>
    </xf>
    <xf numFmtId="0" fontId="7" fillId="21" borderId="0" xfId="0" applyFont="1" applyFill="1" applyAlignment="1">
      <alignment horizontal="left" vertical="center" wrapText="1"/>
    </xf>
    <xf numFmtId="0" fontId="18" fillId="21" borderId="3" xfId="0" applyFont="1" applyFill="1" applyBorder="1" applyAlignment="1">
      <alignment horizontal="left" vertical="center" wrapText="1"/>
    </xf>
    <xf numFmtId="0" fontId="19" fillId="5" borderId="0" xfId="0" applyFont="1" applyFill="1"/>
    <xf numFmtId="0" fontId="20" fillId="22" borderId="0" xfId="0" applyFont="1" applyFill="1" applyAlignment="1">
      <alignment wrapText="1"/>
    </xf>
    <xf numFmtId="1" fontId="20" fillId="22" borderId="1" xfId="0" applyNumberFormat="1" applyFont="1" applyFill="1" applyBorder="1" applyAlignment="1">
      <alignment horizontal="center" vertical="center" wrapText="1"/>
    </xf>
    <xf numFmtId="1" fontId="4" fillId="5" borderId="0" xfId="0" applyNumberFormat="1" applyFont="1" applyFill="1" applyAlignment="1">
      <alignment horizontal="left"/>
    </xf>
    <xf numFmtId="0" fontId="20" fillId="10" borderId="0" xfId="0" applyFont="1" applyFill="1" applyAlignment="1">
      <alignment wrapText="1"/>
    </xf>
    <xf numFmtId="1" fontId="20" fillId="10" borderId="1" xfId="0" applyNumberFormat="1" applyFont="1" applyFill="1" applyBorder="1" applyAlignment="1">
      <alignment horizontal="center" vertical="center" wrapText="1"/>
    </xf>
    <xf numFmtId="0" fontId="20" fillId="11" borderId="0" xfId="0" applyFont="1" applyFill="1" applyAlignment="1">
      <alignment wrapText="1"/>
    </xf>
    <xf numFmtId="1" fontId="20" fillId="11" borderId="1" xfId="0" applyNumberFormat="1" applyFont="1" applyFill="1" applyBorder="1" applyAlignment="1">
      <alignment horizontal="center" vertical="center" wrapText="1"/>
    </xf>
    <xf numFmtId="0" fontId="20" fillId="12" borderId="0" xfId="0" applyFont="1" applyFill="1" applyAlignment="1">
      <alignment wrapText="1"/>
    </xf>
    <xf numFmtId="1" fontId="20" fillId="12" borderId="1" xfId="0" applyNumberFormat="1" applyFont="1" applyFill="1" applyBorder="1" applyAlignment="1">
      <alignment horizontal="center" vertical="center" wrapText="1"/>
    </xf>
    <xf numFmtId="0" fontId="20" fillId="13" borderId="0" xfId="0" applyFont="1" applyFill="1" applyAlignment="1">
      <alignment wrapText="1"/>
    </xf>
    <xf numFmtId="1" fontId="20" fillId="13" borderId="1" xfId="0" applyNumberFormat="1" applyFont="1" applyFill="1" applyBorder="1" applyAlignment="1">
      <alignment horizontal="center" vertical="center" wrapText="1"/>
    </xf>
    <xf numFmtId="0" fontId="20" fillId="14" borderId="0" xfId="0" applyFont="1" applyFill="1" applyAlignment="1">
      <alignment wrapText="1"/>
    </xf>
    <xf numFmtId="1" fontId="20" fillId="14" borderId="1" xfId="0" applyNumberFormat="1" applyFont="1" applyFill="1" applyBorder="1" applyAlignment="1">
      <alignment horizontal="center" vertical="center" wrapText="1"/>
    </xf>
    <xf numFmtId="0" fontId="20" fillId="15" borderId="0" xfId="0" applyFont="1" applyFill="1" applyAlignment="1">
      <alignment wrapText="1"/>
    </xf>
    <xf numFmtId="1" fontId="20" fillId="15" borderId="1" xfId="0" applyNumberFormat="1" applyFont="1" applyFill="1" applyBorder="1" applyAlignment="1">
      <alignment horizontal="center" vertical="center" wrapText="1"/>
    </xf>
    <xf numFmtId="0" fontId="20" fillId="16" borderId="0" xfId="0" applyFont="1" applyFill="1" applyAlignment="1">
      <alignment wrapText="1"/>
    </xf>
    <xf numFmtId="1" fontId="20" fillId="16" borderId="1" xfId="0" applyNumberFormat="1" applyFont="1" applyFill="1" applyBorder="1" applyAlignment="1">
      <alignment horizontal="center" vertical="center" wrapText="1"/>
    </xf>
    <xf numFmtId="0" fontId="5" fillId="0" borderId="0" xfId="0" applyFont="1"/>
    <xf numFmtId="0" fontId="19" fillId="23" borderId="0" xfId="0" applyFont="1" applyFill="1" applyAlignment="1">
      <alignment horizontal="center"/>
    </xf>
    <xf numFmtId="0" fontId="19" fillId="0" borderId="0" xfId="0" applyFont="1" applyAlignment="1">
      <alignment horizontal="center"/>
    </xf>
    <xf numFmtId="0" fontId="20" fillId="0" borderId="0" xfId="0" applyFont="1" applyAlignment="1">
      <alignment horizontal="center"/>
    </xf>
    <xf numFmtId="0" fontId="20" fillId="0" borderId="0" xfId="0" applyFont="1"/>
    <xf numFmtId="1" fontId="20" fillId="0" borderId="0" xfId="0" applyNumberFormat="1" applyFont="1"/>
    <xf numFmtId="0" fontId="15" fillId="24" borderId="2" xfId="0" applyFont="1" applyFill="1" applyBorder="1" applyAlignment="1">
      <alignment horizontal="center" vertical="center" wrapText="1"/>
    </xf>
    <xf numFmtId="0" fontId="11" fillId="26" borderId="0" xfId="0" applyFont="1" applyFill="1" applyAlignment="1">
      <alignment horizontal="left" vertical="center"/>
    </xf>
    <xf numFmtId="0" fontId="7" fillId="27" borderId="0" xfId="0" applyFont="1" applyFill="1" applyAlignment="1">
      <alignment horizontal="left" vertical="center" wrapText="1"/>
    </xf>
    <xf numFmtId="0" fontId="0" fillId="0" borderId="6" xfId="0" applyBorder="1"/>
    <xf numFmtId="0" fontId="15" fillId="28" borderId="2" xfId="0" applyFont="1" applyFill="1" applyBorder="1" applyAlignment="1">
      <alignment horizontal="center" vertical="center" wrapText="1"/>
    </xf>
    <xf numFmtId="1" fontId="19" fillId="3" borderId="3" xfId="0" applyNumberFormat="1" applyFont="1" applyFill="1" applyBorder="1" applyAlignment="1">
      <alignment vertical="top" wrapText="1"/>
    </xf>
    <xf numFmtId="0" fontId="19" fillId="0" borderId="3" xfId="0" applyFont="1" applyBorder="1" applyAlignment="1">
      <alignment vertical="top" wrapText="1"/>
    </xf>
    <xf numFmtId="0" fontId="19" fillId="22" borderId="3" xfId="0" applyFont="1" applyFill="1" applyBorder="1" applyAlignment="1">
      <alignment vertical="top" wrapText="1"/>
    </xf>
    <xf numFmtId="0" fontId="0" fillId="3" borderId="3" xfId="0" applyFill="1" applyBorder="1" applyAlignment="1">
      <alignment horizontal="center" vertical="center"/>
    </xf>
    <xf numFmtId="0" fontId="20" fillId="0" borderId="3" xfId="0" applyFont="1" applyBorder="1" applyAlignment="1">
      <alignment wrapText="1"/>
    </xf>
    <xf numFmtId="0" fontId="20" fillId="0" borderId="3" xfId="0" applyFont="1" applyBorder="1"/>
    <xf numFmtId="0" fontId="19" fillId="5" borderId="3" xfId="0" applyFont="1" applyFill="1" applyBorder="1" applyAlignment="1">
      <alignment horizontal="center" vertical="center"/>
    </xf>
    <xf numFmtId="0" fontId="20" fillId="0" borderId="0" xfId="0" applyFont="1" applyAlignment="1">
      <alignment horizontal="center" vertical="center"/>
    </xf>
    <xf numFmtId="0" fontId="4" fillId="5" borderId="3" xfId="0" applyFont="1" applyFill="1" applyBorder="1" applyAlignment="1">
      <alignment horizontal="center" vertical="center"/>
    </xf>
    <xf numFmtId="0" fontId="0" fillId="0" borderId="0" xfId="0" applyAlignment="1">
      <alignment horizontal="center" vertical="center"/>
    </xf>
    <xf numFmtId="0" fontId="19" fillId="5" borderId="0" xfId="0" applyFont="1" applyFill="1" applyAlignment="1">
      <alignment horizontal="center" vertical="center" wrapText="1"/>
    </xf>
    <xf numFmtId="0" fontId="19" fillId="5" borderId="0" xfId="0" applyFont="1" applyFill="1" applyAlignment="1">
      <alignment horizontal="center" vertical="center"/>
    </xf>
    <xf numFmtId="1" fontId="20" fillId="22" borderId="1" xfId="0" applyNumberFormat="1" applyFont="1" applyFill="1" applyBorder="1" applyAlignment="1">
      <alignment horizontal="center" vertical="center"/>
    </xf>
    <xf numFmtId="0" fontId="20" fillId="0" borderId="3" xfId="0" applyFont="1" applyBorder="1" applyAlignment="1">
      <alignment vertical="center" wrapText="1"/>
    </xf>
    <xf numFmtId="1" fontId="20" fillId="10" borderId="1" xfId="0" applyNumberFormat="1" applyFont="1" applyFill="1" applyBorder="1" applyAlignment="1">
      <alignment horizontal="center" vertical="center"/>
    </xf>
    <xf numFmtId="1" fontId="20" fillId="11" borderId="1" xfId="0" applyNumberFormat="1" applyFont="1" applyFill="1" applyBorder="1" applyAlignment="1">
      <alignment horizontal="center" vertical="center"/>
    </xf>
    <xf numFmtId="1" fontId="20" fillId="12" borderId="1" xfId="0" applyNumberFormat="1" applyFont="1" applyFill="1" applyBorder="1" applyAlignment="1">
      <alignment horizontal="center" vertical="center"/>
    </xf>
    <xf numFmtId="1" fontId="20" fillId="13" borderId="1" xfId="0" applyNumberFormat="1" applyFont="1" applyFill="1" applyBorder="1" applyAlignment="1">
      <alignment horizontal="center" vertical="center"/>
    </xf>
    <xf numFmtId="1" fontId="20" fillId="14" borderId="1" xfId="0" applyNumberFormat="1" applyFont="1" applyFill="1" applyBorder="1" applyAlignment="1">
      <alignment horizontal="center" vertical="center"/>
    </xf>
    <xf numFmtId="1" fontId="20" fillId="15" borderId="1" xfId="0" applyNumberFormat="1" applyFont="1" applyFill="1" applyBorder="1" applyAlignment="1">
      <alignment horizontal="center" vertical="center"/>
    </xf>
    <xf numFmtId="1" fontId="20" fillId="16" borderId="1" xfId="0" applyNumberFormat="1" applyFont="1" applyFill="1" applyBorder="1" applyAlignment="1">
      <alignment horizontal="center" vertical="center"/>
    </xf>
    <xf numFmtId="0" fontId="11" fillId="29" borderId="0" xfId="0" applyFont="1" applyFill="1" applyAlignment="1">
      <alignment horizontal="left" vertical="center"/>
    </xf>
    <xf numFmtId="0" fontId="21" fillId="0" borderId="0" xfId="0" applyFont="1"/>
    <xf numFmtId="0" fontId="15" fillId="29" borderId="2" xfId="0" applyFont="1" applyFill="1" applyBorder="1" applyAlignment="1">
      <alignment horizontal="center" vertical="center" wrapText="1"/>
    </xf>
    <xf numFmtId="0" fontId="22" fillId="29" borderId="2" xfId="0" applyFont="1" applyFill="1" applyBorder="1" applyAlignment="1">
      <alignment horizontal="center" vertical="center" wrapText="1"/>
    </xf>
    <xf numFmtId="0" fontId="7" fillId="19" borderId="1" xfId="0" applyFont="1" applyFill="1" applyBorder="1" applyAlignment="1">
      <alignment horizontal="left" vertical="center" wrapText="1"/>
    </xf>
    <xf numFmtId="0" fontId="17" fillId="20" borderId="1" xfId="0" applyFont="1" applyFill="1" applyBorder="1" applyAlignment="1">
      <alignment horizontal="center" vertical="center"/>
    </xf>
    <xf numFmtId="0" fontId="18" fillId="19"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21" borderId="1" xfId="0" applyFont="1" applyFill="1" applyBorder="1" applyAlignment="1">
      <alignment horizontal="center" vertical="center" wrapText="1"/>
    </xf>
    <xf numFmtId="0" fontId="0" fillId="0" borderId="0" xfId="0" applyAlignment="1">
      <alignment horizontal="center" vertical="center" wrapText="1"/>
    </xf>
    <xf numFmtId="0" fontId="7" fillId="21" borderId="1" xfId="0" applyFont="1" applyFill="1" applyBorder="1" applyAlignment="1">
      <alignment horizontal="left" vertical="center" wrapText="1"/>
    </xf>
    <xf numFmtId="0" fontId="18" fillId="21"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32" borderId="1" xfId="0" applyFont="1" applyFill="1" applyBorder="1" applyAlignment="1">
      <alignment horizontal="center" vertical="center" wrapText="1"/>
    </xf>
    <xf numFmtId="0" fontId="4" fillId="27"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3" borderId="1" xfId="0" applyFont="1" applyFill="1" applyBorder="1" applyAlignment="1">
      <alignment horizontal="center" vertical="center" wrapText="1"/>
    </xf>
    <xf numFmtId="0" fontId="4" fillId="34"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20" fillId="32" borderId="1" xfId="0" applyFont="1" applyFill="1" applyBorder="1" applyAlignment="1">
      <alignment horizontal="left" vertical="center" wrapText="1"/>
    </xf>
    <xf numFmtId="1" fontId="20" fillId="32" borderId="1" xfId="0" applyNumberFormat="1" applyFont="1" applyFill="1" applyBorder="1" applyAlignment="1">
      <alignment horizontal="center" vertical="center" wrapText="1"/>
    </xf>
    <xf numFmtId="0" fontId="20" fillId="0" borderId="0" xfId="0" applyFont="1" applyAlignment="1">
      <alignment horizontal="center" vertical="center" wrapText="1"/>
    </xf>
    <xf numFmtId="0" fontId="0" fillId="22" borderId="1" xfId="0" applyFill="1" applyBorder="1" applyAlignment="1">
      <alignment horizontal="left" vertical="center" wrapText="1"/>
    </xf>
    <xf numFmtId="0" fontId="0" fillId="0" borderId="1" xfId="0" applyBorder="1" applyAlignment="1">
      <alignment horizontal="center" vertical="center" wrapText="1"/>
    </xf>
    <xf numFmtId="0" fontId="20" fillId="27" borderId="1" xfId="0" applyFont="1" applyFill="1" applyBorder="1" applyAlignment="1">
      <alignment horizontal="left" vertical="center" wrapText="1"/>
    </xf>
    <xf numFmtId="1" fontId="20" fillId="27" borderId="1" xfId="0" applyNumberFormat="1" applyFont="1" applyFill="1" applyBorder="1" applyAlignment="1">
      <alignment horizontal="center" vertical="center" wrapText="1"/>
    </xf>
    <xf numFmtId="0" fontId="0" fillId="10" borderId="1" xfId="0" applyFill="1" applyBorder="1" applyAlignment="1">
      <alignment horizontal="left" vertical="center" wrapText="1"/>
    </xf>
    <xf numFmtId="0" fontId="20" fillId="25" borderId="1" xfId="0" applyFont="1" applyFill="1" applyBorder="1" applyAlignment="1">
      <alignment horizontal="left" vertical="center" wrapText="1"/>
    </xf>
    <xf numFmtId="1" fontId="20" fillId="25" borderId="1" xfId="0" applyNumberFormat="1" applyFont="1" applyFill="1" applyBorder="1" applyAlignment="1">
      <alignment horizontal="center" vertical="center" wrapText="1"/>
    </xf>
    <xf numFmtId="0" fontId="0" fillId="11" borderId="1" xfId="0" applyFill="1" applyBorder="1" applyAlignment="1">
      <alignment horizontal="left" vertical="center" wrapText="1"/>
    </xf>
    <xf numFmtId="0" fontId="20" fillId="3" borderId="1" xfId="0" applyFont="1" applyFill="1" applyBorder="1" applyAlignment="1">
      <alignment horizontal="left" vertical="center" wrapText="1"/>
    </xf>
    <xf numFmtId="1" fontId="20" fillId="3" borderId="1" xfId="0" applyNumberFormat="1" applyFont="1" applyFill="1" applyBorder="1" applyAlignment="1">
      <alignment horizontal="center" vertical="center" wrapText="1"/>
    </xf>
    <xf numFmtId="0" fontId="0" fillId="12" borderId="1" xfId="0" applyFill="1" applyBorder="1" applyAlignment="1">
      <alignment horizontal="left" vertical="center" wrapText="1"/>
    </xf>
    <xf numFmtId="0" fontId="20" fillId="33" borderId="1" xfId="0" applyFont="1" applyFill="1" applyBorder="1" applyAlignment="1">
      <alignment horizontal="left" vertical="center" wrapText="1"/>
    </xf>
    <xf numFmtId="1" fontId="20" fillId="33" borderId="1" xfId="0" applyNumberFormat="1" applyFont="1" applyFill="1" applyBorder="1" applyAlignment="1">
      <alignment horizontal="center" vertical="center" wrapText="1"/>
    </xf>
    <xf numFmtId="0" fontId="0" fillId="13" borderId="1" xfId="0" applyFill="1" applyBorder="1" applyAlignment="1">
      <alignment horizontal="left" vertical="center" wrapText="1"/>
    </xf>
    <xf numFmtId="0" fontId="20" fillId="34" borderId="1" xfId="0" applyFont="1" applyFill="1" applyBorder="1" applyAlignment="1">
      <alignment horizontal="left" vertical="center" wrapText="1"/>
    </xf>
    <xf numFmtId="1" fontId="20" fillId="34" borderId="1" xfId="0" applyNumberFormat="1" applyFont="1" applyFill="1" applyBorder="1" applyAlignment="1">
      <alignment horizontal="center" vertical="center" wrapText="1"/>
    </xf>
    <xf numFmtId="0" fontId="0" fillId="14" borderId="1" xfId="0" applyFill="1" applyBorder="1" applyAlignment="1">
      <alignment horizontal="left" vertical="center" wrapText="1"/>
    </xf>
    <xf numFmtId="0" fontId="20" fillId="35" borderId="1" xfId="0" applyFont="1" applyFill="1" applyBorder="1" applyAlignment="1">
      <alignment horizontal="left" vertical="center" wrapText="1"/>
    </xf>
    <xf numFmtId="1" fontId="20" fillId="35" borderId="1" xfId="0" applyNumberFormat="1" applyFont="1" applyFill="1" applyBorder="1" applyAlignment="1">
      <alignment horizontal="center" vertical="center" wrapText="1"/>
    </xf>
    <xf numFmtId="0" fontId="0" fillId="15" borderId="1" xfId="0" applyFill="1" applyBorder="1" applyAlignment="1">
      <alignment horizontal="left" vertical="center" wrapText="1"/>
    </xf>
    <xf numFmtId="0" fontId="20" fillId="36" borderId="1" xfId="0" applyFont="1" applyFill="1" applyBorder="1" applyAlignment="1">
      <alignment horizontal="left" vertical="center" wrapText="1"/>
    </xf>
    <xf numFmtId="1" fontId="20" fillId="36" borderId="1" xfId="0" applyNumberFormat="1" applyFont="1" applyFill="1" applyBorder="1" applyAlignment="1">
      <alignment horizontal="center" vertical="center" wrapText="1"/>
    </xf>
    <xf numFmtId="0" fontId="0" fillId="16" borderId="1" xfId="0" applyFill="1" applyBorder="1" applyAlignment="1">
      <alignment horizontal="left" vertical="center" wrapText="1"/>
    </xf>
    <xf numFmtId="0" fontId="20" fillId="37" borderId="1" xfId="0" applyFont="1" applyFill="1" applyBorder="1" applyAlignment="1">
      <alignment horizontal="left" vertical="center" wrapText="1"/>
    </xf>
    <xf numFmtId="1" fontId="20" fillId="37" borderId="1" xfId="0" applyNumberFormat="1" applyFont="1" applyFill="1" applyBorder="1" applyAlignment="1">
      <alignment horizontal="center" vertical="center" wrapText="1"/>
    </xf>
    <xf numFmtId="0" fontId="20" fillId="38" borderId="0" xfId="0" applyFont="1" applyFill="1"/>
    <xf numFmtId="1" fontId="20" fillId="38" borderId="0" xfId="0" applyNumberFormat="1" applyFont="1" applyFill="1"/>
    <xf numFmtId="0" fontId="20" fillId="39" borderId="0" xfId="0" applyFont="1" applyFill="1"/>
    <xf numFmtId="1" fontId="20" fillId="39" borderId="0" xfId="0" applyNumberFormat="1" applyFont="1" applyFill="1"/>
    <xf numFmtId="0" fontId="20" fillId="40" borderId="0" xfId="0" applyFont="1" applyFill="1"/>
    <xf numFmtId="1" fontId="20" fillId="40" borderId="0" xfId="0" applyNumberFormat="1" applyFont="1" applyFill="1"/>
    <xf numFmtId="0" fontId="20" fillId="0" borderId="1" xfId="0" applyFont="1" applyBorder="1" applyAlignment="1">
      <alignment horizontal="center" vertical="center" wrapText="1"/>
    </xf>
    <xf numFmtId="0" fontId="20" fillId="0" borderId="0" xfId="0" applyFont="1" applyAlignment="1">
      <alignment vertical="top" wrapText="1"/>
    </xf>
    <xf numFmtId="0" fontId="23" fillId="0" borderId="0" xfId="0" applyFont="1" applyAlignment="1">
      <alignment horizontal="center" vertical="center"/>
    </xf>
    <xf numFmtId="0" fontId="24" fillId="0" borderId="0" xfId="0" applyFont="1" applyAlignment="1">
      <alignment horizontal="center" vertical="center"/>
    </xf>
    <xf numFmtId="0" fontId="15" fillId="17" borderId="0" xfId="0" applyFont="1" applyFill="1"/>
    <xf numFmtId="0" fontId="25" fillId="7" borderId="0" xfId="0" applyFont="1" applyFill="1"/>
    <xf numFmtId="0" fontId="26" fillId="17" borderId="0" xfId="0" applyFont="1" applyFill="1"/>
    <xf numFmtId="0" fontId="27" fillId="17" borderId="0" xfId="0" applyFont="1" applyFill="1"/>
    <xf numFmtId="0" fontId="3" fillId="0" borderId="0" xfId="0" applyFont="1" applyAlignment="1">
      <alignment horizontal="left" vertical="center"/>
    </xf>
    <xf numFmtId="9" fontId="7" fillId="3" borderId="3" xfId="0" applyNumberFormat="1" applyFont="1" applyFill="1" applyBorder="1" applyAlignment="1">
      <alignment horizontal="center" vertical="center"/>
    </xf>
    <xf numFmtId="0" fontId="28" fillId="0" borderId="0" xfId="0" applyFont="1" applyAlignment="1">
      <alignment horizontal="left" vertical="center"/>
    </xf>
    <xf numFmtId="2" fontId="19" fillId="3" borderId="3" xfId="0" applyNumberFormat="1" applyFont="1" applyFill="1" applyBorder="1" applyAlignment="1">
      <alignment horizontal="center" vertical="center" wrapText="1"/>
    </xf>
    <xf numFmtId="0" fontId="29" fillId="41" borderId="2" xfId="0" applyFont="1" applyFill="1" applyBorder="1" applyAlignment="1">
      <alignment horizontal="left" vertical="center"/>
    </xf>
    <xf numFmtId="0" fontId="30" fillId="7" borderId="2" xfId="0" applyFont="1" applyFill="1" applyBorder="1" applyAlignment="1">
      <alignment horizontal="left" vertical="center"/>
    </xf>
    <xf numFmtId="1" fontId="30" fillId="7" borderId="2" xfId="0" applyNumberFormat="1" applyFont="1" applyFill="1" applyBorder="1" applyAlignment="1">
      <alignment horizontal="left" vertical="center"/>
    </xf>
    <xf numFmtId="0" fontId="30" fillId="42" borderId="2" xfId="0" applyFont="1" applyFill="1" applyBorder="1" applyAlignment="1">
      <alignment horizontal="left" vertical="center"/>
    </xf>
    <xf numFmtId="1" fontId="30" fillId="42" borderId="2" xfId="0" applyNumberFormat="1" applyFont="1" applyFill="1" applyBorder="1" applyAlignment="1">
      <alignment horizontal="left" vertical="center"/>
    </xf>
    <xf numFmtId="0" fontId="3" fillId="43" borderId="3" xfId="0" applyFont="1" applyFill="1" applyBorder="1" applyAlignment="1">
      <alignment horizontal="center" vertical="center"/>
    </xf>
    <xf numFmtId="0" fontId="4" fillId="0" borderId="0" xfId="0" applyFont="1" applyAlignment="1">
      <alignment horizontal="left" vertical="center" wrapText="1"/>
    </xf>
    <xf numFmtId="2" fontId="0" fillId="43" borderId="3" xfId="0" applyNumberFormat="1" applyFill="1" applyBorder="1" applyAlignment="1">
      <alignment horizontal="center" vertical="center" wrapText="1"/>
    </xf>
    <xf numFmtId="0" fontId="4" fillId="0" borderId="0" xfId="0" applyFont="1"/>
    <xf numFmtId="0" fontId="31" fillId="0" borderId="0" xfId="0" applyFont="1" applyAlignment="1">
      <alignment horizontal="left" vertical="center"/>
    </xf>
    <xf numFmtId="0" fontId="32" fillId="36" borderId="0" xfId="0" applyFont="1" applyFill="1"/>
    <xf numFmtId="0" fontId="14" fillId="17" borderId="8" xfId="0" applyFont="1" applyFill="1" applyBorder="1" applyAlignment="1">
      <alignment horizontal="center" vertical="center" wrapText="1"/>
    </xf>
    <xf numFmtId="0" fontId="14" fillId="17" borderId="8" xfId="0" applyFont="1" applyFill="1" applyBorder="1" applyAlignment="1">
      <alignment horizontal="left" vertical="center"/>
    </xf>
    <xf numFmtId="0" fontId="12" fillId="42" borderId="9" xfId="0" applyFont="1" applyFill="1" applyBorder="1" applyAlignment="1">
      <alignment horizontal="left" vertical="center" wrapText="1"/>
    </xf>
    <xf numFmtId="1" fontId="7" fillId="42" borderId="9" xfId="0" applyNumberFormat="1" applyFont="1" applyFill="1" applyBorder="1" applyAlignment="1">
      <alignment horizontal="center" vertical="center" wrapText="1"/>
    </xf>
    <xf numFmtId="0" fontId="33" fillId="44" borderId="9" xfId="0" applyFont="1" applyFill="1" applyBorder="1" applyAlignment="1">
      <alignment horizontal="left" vertical="top" wrapText="1"/>
    </xf>
    <xf numFmtId="0" fontId="7" fillId="42" borderId="9" xfId="0" applyFont="1" applyFill="1" applyBorder="1" applyAlignment="1">
      <alignment horizontal="center" vertical="center" wrapText="1"/>
    </xf>
    <xf numFmtId="0" fontId="12" fillId="19" borderId="9" xfId="0" applyFont="1" applyFill="1" applyBorder="1" applyAlignment="1">
      <alignment horizontal="left" vertical="center" wrapText="1"/>
    </xf>
    <xf numFmtId="1" fontId="7" fillId="19" borderId="9" xfId="0" applyNumberFormat="1" applyFont="1" applyFill="1" applyBorder="1" applyAlignment="1">
      <alignment horizontal="center" vertical="center" wrapText="1"/>
    </xf>
    <xf numFmtId="0" fontId="7" fillId="19" borderId="9" xfId="0" applyFont="1" applyFill="1" applyBorder="1" applyAlignment="1">
      <alignment horizontal="center" vertical="center" wrapText="1"/>
    </xf>
    <xf numFmtId="0" fontId="14" fillId="17" borderId="8" xfId="0" applyFont="1" applyFill="1" applyBorder="1" applyAlignment="1">
      <alignment horizontal="center" vertical="center"/>
    </xf>
    <xf numFmtId="0" fontId="6" fillId="45" borderId="10" xfId="0" applyFont="1" applyFill="1" applyBorder="1" applyAlignment="1">
      <alignment horizontal="center" vertical="center"/>
    </xf>
    <xf numFmtId="0" fontId="6" fillId="45" borderId="10" xfId="0" applyFont="1" applyFill="1" applyBorder="1" applyAlignment="1">
      <alignment horizontal="left" vertical="center" wrapText="1"/>
    </xf>
    <xf numFmtId="1" fontId="7" fillId="45" borderId="10" xfId="0" applyNumberFormat="1" applyFont="1" applyFill="1" applyBorder="1" applyAlignment="1">
      <alignment horizontal="center" vertical="center"/>
    </xf>
    <xf numFmtId="0" fontId="7" fillId="45" borderId="10" xfId="0" applyFont="1" applyFill="1" applyBorder="1" applyAlignment="1">
      <alignment horizontal="center" vertical="center"/>
    </xf>
    <xf numFmtId="0" fontId="33" fillId="44" borderId="10" xfId="0" applyFont="1" applyFill="1" applyBorder="1" applyAlignment="1">
      <alignment horizontal="left" vertical="center" wrapText="1"/>
    </xf>
    <xf numFmtId="0" fontId="21" fillId="0" borderId="0" xfId="0" applyFont="1" applyAlignment="1">
      <alignment vertical="center" wrapText="1"/>
    </xf>
    <xf numFmtId="0" fontId="6" fillId="46" borderId="10" xfId="0" applyFont="1" applyFill="1" applyBorder="1" applyAlignment="1">
      <alignment horizontal="center" vertical="center"/>
    </xf>
    <xf numFmtId="0" fontId="6" fillId="46" borderId="10" xfId="0" applyFont="1" applyFill="1" applyBorder="1" applyAlignment="1">
      <alignment horizontal="left" vertical="center" wrapText="1"/>
    </xf>
    <xf numFmtId="1" fontId="7" fillId="46" borderId="10" xfId="0" applyNumberFormat="1" applyFont="1" applyFill="1" applyBorder="1" applyAlignment="1">
      <alignment horizontal="center" vertical="center"/>
    </xf>
    <xf numFmtId="0" fontId="7" fillId="46" borderId="10" xfId="0" applyFont="1" applyFill="1" applyBorder="1" applyAlignment="1">
      <alignment horizontal="center" vertical="center"/>
    </xf>
    <xf numFmtId="0" fontId="34" fillId="21" borderId="0" xfId="0" applyFont="1" applyFill="1" applyAlignment="1">
      <alignment horizontal="left" vertical="top" wrapText="1"/>
    </xf>
    <xf numFmtId="0" fontId="4" fillId="21" borderId="0" xfId="0" applyFont="1" applyFill="1" applyAlignment="1">
      <alignment horizontal="left" vertical="top" wrapText="1"/>
    </xf>
    <xf numFmtId="0" fontId="12" fillId="47" borderId="9" xfId="0" applyFont="1" applyFill="1" applyBorder="1" applyAlignment="1">
      <alignment horizontal="left" vertical="top" wrapText="1"/>
    </xf>
    <xf numFmtId="0" fontId="12" fillId="21" borderId="9" xfId="0" applyFont="1" applyFill="1" applyBorder="1" applyAlignment="1">
      <alignment horizontal="left" vertical="top" wrapText="1"/>
    </xf>
    <xf numFmtId="0" fontId="7" fillId="46" borderId="0" xfId="0" applyFont="1" applyFill="1"/>
    <xf numFmtId="0" fontId="7" fillId="20" borderId="0" xfId="0" applyFont="1" applyFill="1" applyAlignment="1">
      <alignment horizontal="left" vertical="top" wrapText="1"/>
    </xf>
    <xf numFmtId="0" fontId="35" fillId="0" borderId="0" xfId="0" applyFont="1" applyAlignment="1">
      <alignment horizontal="left" vertical="center" wrapText="1"/>
    </xf>
    <xf numFmtId="0" fontId="0" fillId="0" borderId="3" xfId="0" applyBorder="1" applyAlignment="1">
      <alignment vertical="top" wrapText="1"/>
    </xf>
    <xf numFmtId="0" fontId="38" fillId="0" borderId="0" xfId="0" applyFont="1" applyAlignment="1">
      <alignment horizontal="left" vertical="center"/>
    </xf>
    <xf numFmtId="0" fontId="0" fillId="0" borderId="0" xfId="0" applyAlignment="1">
      <alignment horizontal="left" vertical="top" wrapText="1"/>
    </xf>
    <xf numFmtId="0" fontId="38" fillId="0" borderId="0" xfId="0" applyFont="1"/>
    <xf numFmtId="0" fontId="4" fillId="0" borderId="0" xfId="0" applyFont="1" applyAlignment="1">
      <alignment horizontal="left" vertical="top" wrapText="1"/>
    </xf>
    <xf numFmtId="0" fontId="12" fillId="4" borderId="5" xfId="0" applyFont="1" applyFill="1" applyBorder="1" applyAlignment="1">
      <alignment horizontal="left" vertical="center" wrapText="1"/>
    </xf>
    <xf numFmtId="1" fontId="19" fillId="3" borderId="0" xfId="0" applyNumberFormat="1" applyFont="1" applyFill="1" applyAlignment="1">
      <alignment wrapText="1"/>
    </xf>
    <xf numFmtId="0" fontId="19" fillId="5" borderId="0" xfId="0" applyFont="1" applyFill="1" applyAlignment="1">
      <alignment horizontal="left" vertical="center"/>
    </xf>
    <xf numFmtId="0" fontId="7" fillId="0" borderId="1" xfId="0" applyFont="1" applyBorder="1" applyAlignment="1">
      <alignment horizontal="left" vertical="center" wrapText="1"/>
    </xf>
    <xf numFmtId="0" fontId="6" fillId="4" borderId="1" xfId="0" applyFont="1" applyFill="1" applyBorder="1" applyAlignment="1">
      <alignment horizontal="left" vertical="center"/>
    </xf>
    <xf numFmtId="0" fontId="8" fillId="0" borderId="1" xfId="0" applyFont="1" applyBorder="1" applyAlignment="1">
      <alignment horizontal="left" vertical="center" wrapText="1"/>
    </xf>
    <xf numFmtId="0" fontId="1" fillId="2" borderId="0" xfId="0" applyFont="1" applyFill="1" applyAlignment="1">
      <alignment horizontal="center" vertical="center"/>
    </xf>
    <xf numFmtId="0" fontId="2" fillId="2" borderId="0" xfId="0" applyFont="1" applyFill="1" applyAlignment="1">
      <alignment horizontal="center" vertical="center" wrapText="1"/>
    </xf>
    <xf numFmtId="0" fontId="5" fillId="3" borderId="1" xfId="0" applyFont="1" applyFill="1" applyBorder="1" applyAlignment="1">
      <alignment vertical="center"/>
    </xf>
    <xf numFmtId="0" fontId="19" fillId="5" borderId="0" xfId="0" applyFont="1" applyFill="1" applyAlignment="1">
      <alignment horizontal="left"/>
    </xf>
    <xf numFmtId="0" fontId="7" fillId="7" borderId="0" xfId="0" applyFont="1" applyFill="1" applyAlignment="1">
      <alignment horizontal="left" vertical="center" wrapText="1"/>
    </xf>
    <xf numFmtId="0" fontId="12" fillId="4" borderId="1" xfId="0" applyFont="1" applyFill="1" applyBorder="1" applyAlignment="1">
      <alignment horizontal="left" vertical="center" wrapText="1"/>
    </xf>
    <xf numFmtId="0" fontId="19" fillId="0" borderId="0" xfId="0" applyFont="1"/>
    <xf numFmtId="0" fontId="11" fillId="6" borderId="0" xfId="0" applyFont="1" applyFill="1" applyAlignment="1">
      <alignment horizontal="left" vertical="center"/>
    </xf>
    <xf numFmtId="0" fontId="7" fillId="25" borderId="0" xfId="0" applyFont="1" applyFill="1" applyAlignment="1">
      <alignment horizontal="left" vertical="center" wrapText="1"/>
    </xf>
    <xf numFmtId="0" fontId="11" fillId="24" borderId="0" xfId="0" applyFont="1" applyFill="1" applyAlignment="1">
      <alignment horizontal="left" vertical="center"/>
    </xf>
    <xf numFmtId="0" fontId="24" fillId="0" borderId="0" xfId="0" applyFont="1" applyAlignment="1">
      <alignment horizontal="left" vertical="center"/>
    </xf>
    <xf numFmtId="0" fontId="19" fillId="31" borderId="0" xfId="0" applyFont="1" applyFill="1" applyAlignment="1">
      <alignment horizontal="center" vertical="center" wrapText="1"/>
    </xf>
    <xf numFmtId="0" fontId="0" fillId="0" borderId="0" xfId="0"/>
    <xf numFmtId="0" fontId="23" fillId="0" borderId="0" xfId="0" applyFont="1" applyAlignment="1">
      <alignment horizontal="left" vertical="center" wrapText="1"/>
    </xf>
    <xf numFmtId="0" fontId="23" fillId="0" borderId="0" xfId="0" applyFont="1" applyAlignment="1">
      <alignment horizontal="left" vertical="center"/>
    </xf>
    <xf numFmtId="0" fontId="20" fillId="36" borderId="7" xfId="0" applyFont="1" applyFill="1" applyBorder="1" applyAlignment="1">
      <alignment horizontal="left" vertical="top" wrapText="1"/>
    </xf>
    <xf numFmtId="0" fontId="20" fillId="37" borderId="7" xfId="0" applyFont="1" applyFill="1" applyBorder="1" applyAlignment="1">
      <alignment horizontal="left" vertical="top" wrapText="1"/>
    </xf>
    <xf numFmtId="0" fontId="20" fillId="38" borderId="7" xfId="0" applyFont="1" applyFill="1" applyBorder="1" applyAlignment="1">
      <alignment horizontal="left" vertical="top" wrapText="1"/>
    </xf>
    <xf numFmtId="0" fontId="20" fillId="39" borderId="7" xfId="0" applyFont="1" applyFill="1" applyBorder="1" applyAlignment="1">
      <alignment horizontal="left" vertical="top" wrapText="1"/>
    </xf>
    <xf numFmtId="0" fontId="20" fillId="40" borderId="7" xfId="0" applyFont="1" applyFill="1" applyBorder="1" applyAlignment="1">
      <alignment horizontal="left" vertical="top" wrapText="1"/>
    </xf>
    <xf numFmtId="0" fontId="20" fillId="25" borderId="7" xfId="0" applyFont="1" applyFill="1" applyBorder="1" applyAlignment="1">
      <alignment horizontal="left" vertical="top" wrapText="1"/>
    </xf>
    <xf numFmtId="0" fontId="20" fillId="3" borderId="7" xfId="0" applyFont="1" applyFill="1" applyBorder="1" applyAlignment="1">
      <alignment horizontal="left" vertical="top" wrapText="1"/>
    </xf>
    <xf numFmtId="0" fontId="20" fillId="33" borderId="7" xfId="0" applyFont="1" applyFill="1" applyBorder="1" applyAlignment="1">
      <alignment horizontal="left" vertical="top" wrapText="1"/>
    </xf>
    <xf numFmtId="0" fontId="20" fillId="34" borderId="7" xfId="0" applyFont="1" applyFill="1" applyBorder="1" applyAlignment="1">
      <alignment horizontal="left" vertical="top" wrapText="1"/>
    </xf>
    <xf numFmtId="0" fontId="20" fillId="35" borderId="7" xfId="0" applyFont="1" applyFill="1" applyBorder="1" applyAlignment="1">
      <alignment horizontal="left" vertical="top" wrapText="1"/>
    </xf>
    <xf numFmtId="0" fontId="19" fillId="17" borderId="7" xfId="0" applyFont="1" applyFill="1" applyBorder="1" applyAlignment="1">
      <alignment horizontal="center" vertical="center" wrapText="1"/>
    </xf>
    <xf numFmtId="0" fontId="20" fillId="32" borderId="7" xfId="0" applyFont="1" applyFill="1" applyBorder="1" applyAlignment="1">
      <alignment horizontal="left" vertical="top" wrapText="1"/>
    </xf>
    <xf numFmtId="0" fontId="20" fillId="27" borderId="7" xfId="0" applyFont="1" applyFill="1" applyBorder="1" applyAlignment="1">
      <alignment horizontal="left" vertical="top" wrapText="1"/>
    </xf>
    <xf numFmtId="0" fontId="11" fillId="29" borderId="0" xfId="0" applyFont="1" applyFill="1" applyAlignment="1">
      <alignment horizontal="left" vertical="center"/>
    </xf>
    <xf numFmtId="0" fontId="7" fillId="30" borderId="0" xfId="0" applyFont="1" applyFill="1" applyAlignment="1">
      <alignment horizontal="left" vertical="center" wrapText="1"/>
    </xf>
    <xf numFmtId="0" fontId="7" fillId="5" borderId="0" xfId="0" applyFont="1" applyFill="1" applyAlignment="1">
      <alignment horizontal="left" vertical="center" wrapText="1"/>
    </xf>
    <xf numFmtId="0" fontId="7" fillId="21" borderId="11" xfId="0" applyFont="1" applyFill="1" applyBorder="1" applyAlignment="1">
      <alignment horizontal="left" vertical="top" wrapText="1"/>
    </xf>
    <xf numFmtId="0" fontId="7" fillId="47" borderId="11" xfId="0" applyFont="1" applyFill="1" applyBorder="1" applyAlignment="1">
      <alignment horizontal="left" vertical="top" wrapText="1"/>
    </xf>
    <xf numFmtId="0" fontId="11" fillId="2" borderId="0" xfId="0" applyFont="1" applyFill="1" applyAlignment="1">
      <alignment horizontal="left" vertical="center"/>
    </xf>
    <xf numFmtId="0" fontId="14" fillId="2" borderId="0" xfId="0" applyFont="1" applyFill="1" applyAlignment="1">
      <alignment horizontal="left" vertical="center" wrapText="1"/>
    </xf>
    <xf numFmtId="0" fontId="0" fillId="0" borderId="0" xfId="0" applyAlignment="1">
      <alignment vertical="top" wrapText="1"/>
    </xf>
    <xf numFmtId="0" fontId="11" fillId="17" borderId="0" xfId="0" applyFont="1" applyFill="1" applyAlignment="1">
      <alignment horizontal="center" vertical="center"/>
    </xf>
    <xf numFmtId="0" fontId="34" fillId="21" borderId="0" xfId="0" applyFont="1" applyFill="1" applyAlignment="1">
      <alignment horizontal="left" vertical="top" wrapText="1"/>
    </xf>
    <xf numFmtId="0" fontId="36" fillId="2" borderId="0" xfId="0" applyFont="1" applyFill="1" applyAlignment="1">
      <alignment horizontal="left" vertical="center"/>
    </xf>
    <xf numFmtId="0" fontId="37" fillId="2" borderId="0" xfId="0" applyFont="1" applyFill="1" applyAlignment="1">
      <alignment horizontal="left" vertical="center"/>
    </xf>
  </cellXfs>
  <cellStyles count="1">
    <cellStyle name="Normal" xfId="0" builtinId="0"/>
  </cellStyles>
  <dxfs count="56">
    <dxf>
      <fill>
        <patternFill>
          <bgColor rgb="FFFCE0E0"/>
        </patternFill>
      </fill>
    </dxf>
    <dxf>
      <fill>
        <patternFill>
          <bgColor rgb="FFFCE4D6"/>
        </patternFill>
      </fill>
    </dxf>
    <dxf>
      <fill>
        <patternFill>
          <bgColor rgb="FFDAE8FC"/>
        </patternFill>
      </fill>
    </dxf>
    <dxf>
      <fill>
        <patternFill>
          <bgColor rgb="FFE2EFDA"/>
        </patternFill>
      </fill>
    </dxf>
    <dxf>
      <fill>
        <patternFill>
          <bgColor rgb="FFFCE4D6"/>
        </patternFill>
      </fill>
    </dxf>
    <dxf>
      <fill>
        <patternFill>
          <bgColor rgb="FFD0CECE"/>
        </patternFill>
      </fill>
    </dxf>
    <dxf>
      <fill>
        <patternFill>
          <bgColor rgb="FFD9D2E9"/>
        </patternFill>
      </fill>
    </dxf>
    <dxf>
      <fill>
        <patternFill>
          <bgColor rgb="FFF4CCCC"/>
        </patternFill>
      </fill>
    </dxf>
    <dxf>
      <fill>
        <patternFill>
          <bgColor rgb="FFD0E0E3"/>
        </patternFill>
      </fill>
    </dxf>
    <dxf>
      <fill>
        <patternFill>
          <bgColor rgb="FFD9E1F2"/>
        </patternFill>
      </fill>
    </dxf>
    <dxf>
      <fill>
        <patternFill>
          <bgColor rgb="FFF8CBAD"/>
        </patternFill>
      </fill>
    </dxf>
    <dxf>
      <fill>
        <patternFill>
          <bgColor rgb="FFEAD1DC"/>
        </patternFill>
      </fill>
    </dxf>
    <dxf>
      <fill>
        <patternFill>
          <bgColor rgb="FFFFD9D9"/>
        </patternFill>
      </fill>
    </dxf>
    <dxf>
      <fill>
        <patternFill>
          <bgColor rgb="FFFFD9D9"/>
        </patternFill>
      </fill>
    </dxf>
    <dxf>
      <fill>
        <patternFill>
          <bgColor rgb="FFFFF2CC"/>
        </patternFill>
      </fill>
    </dxf>
    <dxf>
      <fill>
        <patternFill>
          <bgColor rgb="FFC6EFCE"/>
        </patternFill>
      </fill>
    </dxf>
    <dxf>
      <font>
        <b/>
        <sz val="11"/>
        <color rgb="FF375623"/>
        <name val="Arial"/>
        <charset val="1"/>
      </font>
      <fill>
        <patternFill>
          <bgColor rgb="FFC6EFCE"/>
        </patternFill>
      </fill>
    </dxf>
    <dxf>
      <font>
        <color rgb="FF000000"/>
      </font>
      <fill>
        <patternFill>
          <bgColor rgb="FFFFC7CE"/>
        </patternFill>
      </fill>
    </dxf>
    <dxf>
      <font>
        <color rgb="FF000000"/>
      </font>
      <fill>
        <patternFill>
          <bgColor rgb="FFFFC7CE"/>
        </patternFill>
      </fill>
    </dxf>
    <dxf>
      <font>
        <color rgb="FF000000"/>
      </font>
      <fill>
        <patternFill>
          <bgColor rgb="FFFFEB9C"/>
        </patternFill>
      </fill>
    </dxf>
    <dxf>
      <font>
        <color rgb="FF000000"/>
      </font>
      <fill>
        <patternFill>
          <bgColor rgb="FFC6EFCE"/>
        </patternFill>
      </fill>
    </dxf>
    <dxf>
      <font>
        <color rgb="FF000000"/>
      </font>
      <fill>
        <patternFill>
          <bgColor rgb="FFC6EFCE"/>
        </patternFill>
      </fill>
    </dxf>
    <dxf>
      <fill>
        <patternFill>
          <bgColor rgb="FFD9EAD3"/>
        </patternFill>
      </fill>
    </dxf>
    <dxf>
      <fill>
        <patternFill>
          <bgColor rgb="FFFFF2CC"/>
        </patternFill>
      </fill>
    </dxf>
    <dxf>
      <fill>
        <patternFill>
          <bgColor rgb="FFF4CCCC"/>
        </patternFill>
      </fill>
    </dxf>
    <dxf>
      <fill>
        <patternFill>
          <bgColor rgb="FFC6EFCE"/>
        </patternFill>
      </fill>
    </dxf>
    <dxf>
      <fill>
        <patternFill>
          <bgColor rgb="FFFFD9D9"/>
        </patternFill>
      </fill>
    </dxf>
    <dxf>
      <fill>
        <patternFill>
          <bgColor rgb="FFFFD9D9"/>
        </patternFill>
      </fill>
    </dxf>
    <dxf>
      <fill>
        <patternFill>
          <bgColor rgb="FFFFF2CC"/>
        </patternFill>
      </fill>
    </dxf>
    <dxf>
      <font>
        <b/>
        <sz val="11"/>
        <color rgb="FF375623"/>
        <name val="Arial"/>
        <charset val="1"/>
      </font>
      <fill>
        <patternFill>
          <bgColor rgb="FFC6EFCE"/>
        </patternFill>
      </fill>
    </dxf>
    <dxf>
      <fill>
        <patternFill>
          <bgColor rgb="FFFFD9D9"/>
        </patternFill>
      </fill>
    </dxf>
    <dxf>
      <fill>
        <patternFill>
          <bgColor rgb="FFFFD9D9"/>
        </patternFill>
      </fill>
    </dxf>
    <dxf>
      <fill>
        <patternFill>
          <bgColor rgb="FFFFF2CC"/>
        </patternFill>
      </fill>
    </dxf>
    <dxf>
      <fill>
        <patternFill>
          <bgColor rgb="FFC6EFCE"/>
        </patternFill>
      </fill>
    </dxf>
    <dxf>
      <fill>
        <patternFill>
          <bgColor rgb="FFC6EFCE"/>
        </patternFill>
      </fill>
    </dxf>
    <dxf>
      <fill>
        <patternFill>
          <bgColor rgb="FFD9EAD3"/>
        </patternFill>
      </fill>
    </dxf>
    <dxf>
      <fill>
        <patternFill>
          <bgColor rgb="FFFFD9D9"/>
        </patternFill>
      </fill>
    </dxf>
    <dxf>
      <fill>
        <patternFill>
          <bgColor rgb="FFFFD9D9"/>
        </patternFill>
      </fill>
    </dxf>
    <dxf>
      <fill>
        <patternFill>
          <bgColor rgb="FFFFF2CC"/>
        </patternFill>
      </fill>
    </dxf>
    <dxf>
      <fill>
        <patternFill>
          <bgColor rgb="FFC6EFCE"/>
        </patternFill>
      </fill>
    </dxf>
    <dxf>
      <fill>
        <patternFill>
          <bgColor rgb="FFC6EFCE"/>
        </patternFill>
      </fill>
    </dxf>
    <dxf>
      <font>
        <b/>
        <sz val="11"/>
        <color rgb="FF375623"/>
        <name val="Arial"/>
        <charset val="1"/>
      </font>
      <fill>
        <patternFill>
          <bgColor rgb="FFC6EFCE"/>
        </patternFill>
      </fill>
    </dxf>
    <dxf>
      <fill>
        <patternFill>
          <bgColor rgb="FFFFD9D9"/>
        </patternFill>
      </fill>
    </dxf>
    <dxf>
      <fill>
        <patternFill>
          <bgColor rgb="FFFFD9D9"/>
        </patternFill>
      </fill>
    </dxf>
    <dxf>
      <fill>
        <patternFill>
          <bgColor rgb="FFFFF2CC"/>
        </patternFill>
      </fill>
    </dxf>
    <dxf>
      <fill>
        <patternFill>
          <bgColor rgb="FFC6EFCE"/>
        </patternFill>
      </fill>
    </dxf>
    <dxf>
      <fill>
        <patternFill>
          <bgColor rgb="FFC6EFCE"/>
        </patternFill>
      </fill>
    </dxf>
    <dxf>
      <fill>
        <patternFill>
          <bgColor rgb="FFD9EAD3"/>
        </patternFill>
      </fill>
    </dxf>
    <dxf>
      <fill>
        <patternFill>
          <bgColor rgb="FFFFF2CC"/>
        </patternFill>
      </fill>
    </dxf>
    <dxf>
      <fill>
        <patternFill>
          <bgColor rgb="FFF4CCCC"/>
        </patternFill>
      </fill>
    </dxf>
    <dxf>
      <fill>
        <patternFill>
          <bgColor rgb="FFFFD9D9"/>
        </patternFill>
      </fill>
    </dxf>
    <dxf>
      <fill>
        <patternFill>
          <bgColor rgb="FFFFD9D9"/>
        </patternFill>
      </fill>
    </dxf>
    <dxf>
      <fill>
        <patternFill>
          <bgColor rgb="FFFFF2CC"/>
        </patternFill>
      </fill>
    </dxf>
    <dxf>
      <fill>
        <patternFill>
          <bgColor rgb="FFC6EFCE"/>
        </patternFill>
      </fill>
    </dxf>
    <dxf>
      <fill>
        <patternFill>
          <bgColor rgb="FFC6EFCE"/>
        </patternFill>
      </fill>
    </dxf>
    <dxf>
      <font>
        <b/>
        <sz val="11"/>
        <color rgb="FF375623"/>
        <name val="Arial"/>
        <charset val="1"/>
      </font>
      <fill>
        <patternFill>
          <bgColor rgb="FFC6EFCE"/>
        </patternFill>
      </fill>
    </dxf>
  </dxfs>
  <tableStyles count="0" defaultTableStyle="TableStyleMedium2" defaultPivotStyle="PivotStyleLight16"/>
  <colors>
    <indexedColors>
      <rgbColor rgb="FF000000"/>
      <rgbColor rgb="FFFFFFFF"/>
      <rgbColor rgb="FFFFF3E0"/>
      <rgbColor rgb="FFE8F5E9"/>
      <rgbColor rgb="FFF5F5F5"/>
      <rgbColor rgb="FFFFF0CC"/>
      <rgbColor rgb="FFF3E5F5"/>
      <rgbColor rgb="FFDDEBFA"/>
      <rgbColor rgb="FFEBF3FB"/>
      <rgbColor rgb="FFF1E7F5"/>
      <rgbColor rgb="FFF7F7F7"/>
      <rgbColor rgb="FFD9E1F2"/>
      <rgbColor rgb="FFEFEFF3"/>
      <rgbColor rgb="FFEDE7F6"/>
      <rgbColor rgb="FFBFBFBF"/>
      <rgbColor rgb="FF788F7E"/>
      <rgbColor rgb="FFD9D9DD"/>
      <rgbColor rgb="FF7030A0"/>
      <rgbColor rgb="FFFFF2CC"/>
      <rgbColor rgb="FFE0F2F1"/>
      <rgbColor rgb="FFEAF3FB"/>
      <rgbColor rgb="FFF4CCCC"/>
      <rgbColor rgb="FF0E6EBD"/>
      <rgbColor rgb="FFBFCFDF"/>
      <rgbColor rgb="FFFAFAFA"/>
      <rgbColor rgb="FFFFEBEE"/>
      <rgbColor rgb="FFD9EAD3"/>
      <rgbColor rgb="FFDEEAF1"/>
      <rgbColor rgb="FFE8F1FA"/>
      <rgbColor rgb="FFEBF3FC"/>
      <rgbColor rgb="FFE7F3EC"/>
      <rgbColor rgb="FFF2F7FC"/>
      <rgbColor rgb="FFE7EEF8"/>
      <rgbColor rgb="FFE3F2FD"/>
      <rgbColor rgb="FFC6EFCE"/>
      <rgbColor rgb="FFFFF297"/>
      <rgbColor rgb="FFD0DEE8"/>
      <rgbColor rgb="FFFFC7CE"/>
      <rgbColor rgb="FFD0CECE"/>
      <rgbColor rgb="FFF8CBAD"/>
      <rgbColor rgb="FF30579C"/>
      <rgbColor rgb="FFCFE2F3"/>
      <rgbColor rgb="FFE2EFDA"/>
      <rgbColor rgb="FFFFD9D9"/>
      <rgbColor rgb="FFFCE4D9"/>
      <rgbColor rgb="FFFCE4EC"/>
      <rgbColor rgb="FF727272"/>
      <rgbColor rgb="FFEAD1DC"/>
      <rgbColor rgb="FF152D41"/>
      <rgbColor rgb="FFD6E4F0"/>
      <rgbColor rgb="FFF0F4FA"/>
      <rgbColor rgb="FF405B22"/>
      <rgbColor rgb="FFD92E1B"/>
      <rgbColor rgb="FFEAE3F1"/>
      <rgbColor rgb="FF1F4B7A"/>
      <rgbColor rgb="FF3A512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H29"/>
  <sheetViews>
    <sheetView showGridLines="0" zoomScaleNormal="100" workbookViewId="0">
      <pane ySplit="6" topLeftCell="A7" activePane="bottomLeft" state="frozen"/>
      <selection pane="bottomLeft"/>
    </sheetView>
  </sheetViews>
  <sheetFormatPr baseColWidth="10" defaultColWidth="8.83203125" defaultRowHeight="15" x14ac:dyDescent="0.2"/>
  <cols>
    <col min="1" max="1" width="4" customWidth="1"/>
    <col min="2" max="2" width="60" customWidth="1"/>
    <col min="3" max="8" width="22" customWidth="1"/>
  </cols>
  <sheetData>
    <row r="1" spans="1:8" ht="48" customHeight="1" x14ac:dyDescent="0.2">
      <c r="A1" s="196" t="s">
        <v>0</v>
      </c>
      <c r="B1" s="196"/>
      <c r="C1" s="196"/>
      <c r="D1" s="196"/>
      <c r="E1" s="196"/>
      <c r="F1" s="196"/>
      <c r="G1" s="196"/>
      <c r="H1" s="196"/>
    </row>
    <row r="2" spans="1:8" ht="27.75" customHeight="1" x14ac:dyDescent="0.2">
      <c r="A2" s="197" t="s">
        <v>1</v>
      </c>
      <c r="B2" s="197"/>
      <c r="C2" s="197"/>
      <c r="D2" s="197"/>
      <c r="E2" s="197"/>
      <c r="F2" s="197"/>
      <c r="G2" s="197"/>
      <c r="H2" s="197"/>
    </row>
    <row r="3" spans="1:8" ht="9.75" customHeight="1" x14ac:dyDescent="0.2"/>
    <row r="4" spans="1:8" ht="24" customHeight="1" x14ac:dyDescent="0.2">
      <c r="A4" s="3" t="s">
        <v>2</v>
      </c>
      <c r="C4" s="3" t="s">
        <v>3</v>
      </c>
      <c r="E4" s="4" t="s">
        <v>4</v>
      </c>
    </row>
    <row r="5" spans="1:8" ht="12" customHeight="1" x14ac:dyDescent="0.2">
      <c r="A5" s="198"/>
      <c r="B5" s="198"/>
      <c r="C5" s="198"/>
      <c r="D5" s="198"/>
      <c r="E5" s="198"/>
      <c r="F5" s="198"/>
      <c r="G5" s="198"/>
      <c r="H5" s="198"/>
    </row>
    <row r="6" spans="1:8" ht="12" customHeight="1" x14ac:dyDescent="0.2"/>
    <row r="7" spans="1:8" ht="30" customHeight="1" x14ac:dyDescent="0.2">
      <c r="A7" s="194" t="s">
        <v>5</v>
      </c>
      <c r="B7" s="194"/>
      <c r="C7" s="194"/>
      <c r="D7" s="194"/>
      <c r="E7" s="194"/>
      <c r="F7" s="194"/>
      <c r="G7" s="194"/>
      <c r="H7" s="194"/>
    </row>
    <row r="8" spans="1:8" ht="7.5" customHeight="1" x14ac:dyDescent="0.2"/>
    <row r="9" spans="1:8" ht="24" customHeight="1" x14ac:dyDescent="0.2">
      <c r="A9" s="193" t="s">
        <v>6</v>
      </c>
      <c r="B9" s="193"/>
      <c r="C9" s="193"/>
      <c r="D9" s="193"/>
      <c r="E9" s="193"/>
      <c r="F9" s="193"/>
      <c r="G9" s="193"/>
      <c r="H9" s="193"/>
    </row>
    <row r="10" spans="1:8" ht="24" customHeight="1" x14ac:dyDescent="0.2">
      <c r="A10" s="193" t="s">
        <v>7</v>
      </c>
      <c r="B10" s="193"/>
      <c r="C10" s="193"/>
      <c r="D10" s="193"/>
      <c r="E10" s="193"/>
      <c r="F10" s="193"/>
      <c r="G10" s="193"/>
      <c r="H10" s="193"/>
    </row>
    <row r="11" spans="1:8" ht="24" customHeight="1" x14ac:dyDescent="0.2">
      <c r="A11" s="195" t="s">
        <v>8</v>
      </c>
      <c r="B11" s="195"/>
      <c r="C11" s="195"/>
      <c r="D11" s="195"/>
      <c r="E11" s="195"/>
      <c r="F11" s="195"/>
      <c r="G11" s="195"/>
      <c r="H11" s="195"/>
    </row>
    <row r="12" spans="1:8" ht="24" customHeight="1" x14ac:dyDescent="0.2">
      <c r="A12" s="193" t="s">
        <v>9</v>
      </c>
      <c r="B12" s="193"/>
      <c r="C12" s="193"/>
      <c r="D12" s="193"/>
      <c r="E12" s="193"/>
      <c r="F12" s="193"/>
      <c r="G12" s="193"/>
      <c r="H12" s="193"/>
    </row>
    <row r="13" spans="1:8" ht="24" customHeight="1" x14ac:dyDescent="0.2">
      <c r="A13" s="193" t="s">
        <v>10</v>
      </c>
      <c r="B13" s="193"/>
      <c r="C13" s="193"/>
      <c r="D13" s="193"/>
      <c r="E13" s="193"/>
      <c r="F13" s="193"/>
      <c r="G13" s="193"/>
      <c r="H13" s="193"/>
    </row>
    <row r="14" spans="1:8" ht="24" customHeight="1" x14ac:dyDescent="0.2">
      <c r="A14" s="193" t="s">
        <v>11</v>
      </c>
      <c r="B14" s="193"/>
      <c r="C14" s="193"/>
      <c r="D14" s="193"/>
      <c r="E14" s="193"/>
      <c r="F14" s="193"/>
      <c r="G14" s="193"/>
      <c r="H14" s="193"/>
    </row>
    <row r="15" spans="1:8" ht="24" customHeight="1" x14ac:dyDescent="0.2"/>
    <row r="16" spans="1:8" ht="9.75" customHeight="1" x14ac:dyDescent="0.2"/>
    <row r="17" spans="1:8" ht="30" customHeight="1" x14ac:dyDescent="0.2">
      <c r="A17" s="194" t="s">
        <v>12</v>
      </c>
      <c r="B17" s="194"/>
      <c r="C17" s="194"/>
      <c r="D17" s="194"/>
      <c r="E17" s="194"/>
      <c r="F17" s="194"/>
      <c r="G17" s="194"/>
      <c r="H17" s="194"/>
    </row>
    <row r="18" spans="1:8" ht="7.5" customHeight="1" x14ac:dyDescent="0.2"/>
    <row r="19" spans="1:8" ht="21.75" customHeight="1" x14ac:dyDescent="0.2">
      <c r="A19" s="193" t="s">
        <v>13</v>
      </c>
      <c r="B19" s="193"/>
      <c r="C19" s="193"/>
      <c r="D19" s="193"/>
      <c r="E19" s="193"/>
      <c r="F19" s="193"/>
      <c r="G19" s="193"/>
      <c r="H19" s="193"/>
    </row>
    <row r="20" spans="1:8" ht="21.75" customHeight="1" x14ac:dyDescent="0.2">
      <c r="A20" s="193" t="s">
        <v>14</v>
      </c>
      <c r="B20" s="193"/>
      <c r="C20" s="193"/>
      <c r="D20" s="193"/>
      <c r="E20" s="193"/>
      <c r="F20" s="193"/>
      <c r="G20" s="193"/>
      <c r="H20" s="193"/>
    </row>
    <row r="21" spans="1:8" ht="21.75" customHeight="1" x14ac:dyDescent="0.2">
      <c r="A21" s="193" t="s">
        <v>15</v>
      </c>
      <c r="B21" s="193"/>
      <c r="C21" s="193"/>
      <c r="D21" s="193"/>
      <c r="E21" s="193"/>
      <c r="F21" s="193"/>
      <c r="G21" s="193"/>
      <c r="H21" s="193"/>
    </row>
    <row r="22" spans="1:8" ht="21.75" customHeight="1" x14ac:dyDescent="0.2">
      <c r="A22" s="193" t="s">
        <v>16</v>
      </c>
      <c r="B22" s="193"/>
      <c r="C22" s="193"/>
      <c r="D22" s="193"/>
      <c r="E22" s="193"/>
      <c r="F22" s="193"/>
      <c r="G22" s="193"/>
      <c r="H22" s="193"/>
    </row>
    <row r="23" spans="1:8" ht="21.75" customHeight="1" x14ac:dyDescent="0.2">
      <c r="A23" s="193" t="s">
        <v>17</v>
      </c>
      <c r="B23" s="193"/>
      <c r="C23" s="193"/>
      <c r="D23" s="193"/>
      <c r="E23" s="193"/>
      <c r="F23" s="193"/>
      <c r="G23" s="193"/>
      <c r="H23" s="193"/>
    </row>
    <row r="24" spans="1:8" ht="21.75" customHeight="1" x14ac:dyDescent="0.2">
      <c r="A24" s="193" t="s">
        <v>18</v>
      </c>
      <c r="B24" s="193"/>
      <c r="C24" s="193"/>
      <c r="D24" s="193"/>
      <c r="E24" s="193"/>
      <c r="F24" s="193"/>
      <c r="G24" s="193"/>
      <c r="H24" s="193"/>
    </row>
    <row r="25" spans="1:8" ht="21.75" customHeight="1" x14ac:dyDescent="0.2">
      <c r="A25" s="5" t="s">
        <v>19</v>
      </c>
    </row>
    <row r="26" spans="1:8" ht="21.75" customHeight="1" x14ac:dyDescent="0.2">
      <c r="A26" s="5" t="s">
        <v>20</v>
      </c>
    </row>
    <row r="27" spans="1:8" ht="21.75" customHeight="1" x14ac:dyDescent="0.2">
      <c r="A27" s="5" t="s">
        <v>21</v>
      </c>
    </row>
    <row r="28" spans="1:8" ht="21.75" customHeight="1" x14ac:dyDescent="0.2">
      <c r="A28" s="5" t="s">
        <v>22</v>
      </c>
    </row>
    <row r="29" spans="1:8" ht="21" customHeight="1" x14ac:dyDescent="0.2">
      <c r="A29" s="6" t="s">
        <v>23</v>
      </c>
    </row>
  </sheetData>
  <mergeCells count="19">
    <mergeCell ref="A1:H1"/>
    <mergeCell ref="A2:H2"/>
    <mergeCell ref="A5:B5"/>
    <mergeCell ref="C5:D5"/>
    <mergeCell ref="E5:H5"/>
    <mergeCell ref="A7:H7"/>
    <mergeCell ref="A9:H9"/>
    <mergeCell ref="A10:H10"/>
    <mergeCell ref="A11:H11"/>
    <mergeCell ref="A12:H12"/>
    <mergeCell ref="A21:H21"/>
    <mergeCell ref="A22:H22"/>
    <mergeCell ref="A23:H23"/>
    <mergeCell ref="A24:H24"/>
    <mergeCell ref="A13:H13"/>
    <mergeCell ref="A14:H14"/>
    <mergeCell ref="A17:H17"/>
    <mergeCell ref="A19:H19"/>
    <mergeCell ref="A20:H20"/>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0"/>
  <sheetViews>
    <sheetView showGridLines="0" zoomScaleNormal="100" workbookViewId="0">
      <pane ySplit="9" topLeftCell="A10" activePane="bottomLeft" state="frozen"/>
      <selection pane="bottomLeft" activeCell="A10" sqref="A10"/>
    </sheetView>
  </sheetViews>
  <sheetFormatPr baseColWidth="10" defaultColWidth="8.83203125" defaultRowHeight="15" x14ac:dyDescent="0.2"/>
  <cols>
    <col min="1" max="1" width="10" style="7" customWidth="1"/>
    <col min="2" max="2" width="55" style="7" customWidth="1"/>
    <col min="3" max="3" width="8" style="7" customWidth="1"/>
    <col min="4" max="4" width="26" style="7" customWidth="1"/>
    <col min="5" max="13" width="18" style="7" customWidth="1"/>
    <col min="14" max="14" width="13" style="7" customWidth="1"/>
  </cols>
  <sheetData>
    <row r="1" spans="1:13" ht="39.75" customHeight="1" x14ac:dyDescent="0.2">
      <c r="A1" s="203" t="s">
        <v>24</v>
      </c>
      <c r="B1" s="203"/>
      <c r="C1" s="203"/>
      <c r="D1" s="203" t="s">
        <v>25</v>
      </c>
      <c r="E1" s="203"/>
    </row>
    <row r="2" spans="1:13" ht="19.5" customHeight="1" x14ac:dyDescent="0.2">
      <c r="A2" s="200" t="s">
        <v>26</v>
      </c>
      <c r="B2" s="200"/>
      <c r="C2" s="200"/>
      <c r="D2" s="8" t="s">
        <v>27</v>
      </c>
      <c r="E2" s="9">
        <f>COUNT(A10:A45)</f>
        <v>36</v>
      </c>
    </row>
    <row r="3" spans="1:13" ht="19.5" customHeight="1" x14ac:dyDescent="0.2">
      <c r="A3" s="200" t="s">
        <v>28</v>
      </c>
      <c r="B3" s="200"/>
      <c r="C3" s="200"/>
      <c r="D3" s="8" t="s">
        <v>29</v>
      </c>
      <c r="E3" s="9">
        <v>36</v>
      </c>
    </row>
    <row r="4" spans="1:13" ht="19.5" customHeight="1" x14ac:dyDescent="0.2">
      <c r="A4" s="200" t="s">
        <v>30</v>
      </c>
      <c r="B4" s="200"/>
      <c r="C4" s="200"/>
      <c r="D4" s="8" t="s">
        <v>31</v>
      </c>
      <c r="E4" s="9" t="str">
        <f>ROUND(E2/E3*100,0)&amp;"%"</f>
        <v>100%</v>
      </c>
    </row>
    <row r="5" spans="1:13" ht="19.5" customHeight="1" x14ac:dyDescent="0.2">
      <c r="A5" s="200" t="s">
        <v>32</v>
      </c>
      <c r="B5" s="200"/>
      <c r="C5" s="200"/>
    </row>
    <row r="6" spans="1:13" ht="19.5" customHeight="1" x14ac:dyDescent="0.2">
      <c r="A6" s="200" t="s">
        <v>33</v>
      </c>
      <c r="B6" s="200"/>
      <c r="C6" s="200"/>
    </row>
    <row r="7" spans="1:13" ht="19.5" customHeight="1" x14ac:dyDescent="0.2">
      <c r="A7" s="10"/>
      <c r="B7" s="10"/>
      <c r="C7" s="10"/>
    </row>
    <row r="8" spans="1:13" s="7" customFormat="1" ht="60" customHeight="1" x14ac:dyDescent="0.2">
      <c r="A8" s="201" t="s">
        <v>34</v>
      </c>
      <c r="B8" s="201"/>
      <c r="C8" s="201"/>
      <c r="E8" s="11" t="s">
        <v>35</v>
      </c>
      <c r="F8" s="12" t="s">
        <v>36</v>
      </c>
      <c r="G8" s="13" t="s">
        <v>37</v>
      </c>
      <c r="H8" s="14" t="s">
        <v>38</v>
      </c>
      <c r="I8" s="15" t="s">
        <v>39</v>
      </c>
      <c r="J8" s="16" t="s">
        <v>40</v>
      </c>
      <c r="K8" s="17" t="s">
        <v>41</v>
      </c>
      <c r="L8" s="18" t="s">
        <v>42</v>
      </c>
      <c r="M8" s="13" t="s">
        <v>43</v>
      </c>
    </row>
    <row r="9" spans="1:13" s="7" customFormat="1" ht="25.5" customHeight="1" x14ac:dyDescent="0.2">
      <c r="A9" s="19" t="s">
        <v>44</v>
      </c>
      <c r="B9" s="19" t="s">
        <v>45</v>
      </c>
      <c r="C9" s="19" t="s">
        <v>46</v>
      </c>
      <c r="D9" s="19" t="s">
        <v>47</v>
      </c>
      <c r="E9" s="19" t="s">
        <v>48</v>
      </c>
      <c r="F9" s="19" t="s">
        <v>49</v>
      </c>
      <c r="G9" s="19" t="s">
        <v>50</v>
      </c>
      <c r="H9" s="19" t="s">
        <v>51</v>
      </c>
      <c r="I9" s="19" t="s">
        <v>52</v>
      </c>
      <c r="J9" s="20" t="s">
        <v>53</v>
      </c>
      <c r="K9" s="20" t="s">
        <v>54</v>
      </c>
      <c r="L9" s="20" t="s">
        <v>55</v>
      </c>
      <c r="M9" s="20" t="s">
        <v>56</v>
      </c>
    </row>
    <row r="10" spans="1:13" s="7" customFormat="1" ht="36" customHeight="1" x14ac:dyDescent="0.2">
      <c r="A10" s="21">
        <v>3</v>
      </c>
      <c r="B10" s="22" t="s">
        <v>57</v>
      </c>
      <c r="C10" s="23" t="s">
        <v>58</v>
      </c>
      <c r="D10" s="24" t="s">
        <v>59</v>
      </c>
      <c r="E10" s="7">
        <v>1</v>
      </c>
      <c r="F10" s="7">
        <v>0</v>
      </c>
      <c r="G10" s="7">
        <v>0</v>
      </c>
      <c r="H10" s="7">
        <v>0</v>
      </c>
      <c r="I10" s="7">
        <v>0.25</v>
      </c>
      <c r="J10" s="7">
        <v>0</v>
      </c>
      <c r="K10" s="7">
        <v>0</v>
      </c>
      <c r="L10" s="7">
        <v>0</v>
      </c>
      <c r="M10" s="7">
        <v>0</v>
      </c>
    </row>
    <row r="11" spans="1:13" s="7" customFormat="1" ht="36" customHeight="1" x14ac:dyDescent="0.2">
      <c r="A11" s="21">
        <v>3</v>
      </c>
      <c r="B11" s="25" t="s">
        <v>60</v>
      </c>
      <c r="C11" s="23" t="s">
        <v>61</v>
      </c>
      <c r="D11" s="26" t="s">
        <v>59</v>
      </c>
      <c r="E11" s="7">
        <v>1</v>
      </c>
      <c r="F11" s="7">
        <v>0</v>
      </c>
      <c r="G11" s="7">
        <v>0.25</v>
      </c>
      <c r="H11" s="7">
        <v>0</v>
      </c>
      <c r="I11" s="7">
        <v>0</v>
      </c>
      <c r="J11" s="7">
        <v>0</v>
      </c>
      <c r="K11" s="7">
        <v>0</v>
      </c>
      <c r="L11" s="7">
        <v>0</v>
      </c>
      <c r="M11" s="7">
        <v>0</v>
      </c>
    </row>
    <row r="12" spans="1:13" s="7" customFormat="1" ht="36" customHeight="1" x14ac:dyDescent="0.2">
      <c r="A12" s="21">
        <v>3</v>
      </c>
      <c r="B12" s="22" t="s">
        <v>62</v>
      </c>
      <c r="C12" s="23" t="s">
        <v>63</v>
      </c>
      <c r="D12" s="24" t="s">
        <v>59</v>
      </c>
      <c r="E12" s="7">
        <v>1</v>
      </c>
      <c r="F12" s="7">
        <v>0</v>
      </c>
      <c r="G12" s="7">
        <v>0</v>
      </c>
      <c r="H12" s="7">
        <v>0</v>
      </c>
      <c r="I12" s="7">
        <v>0.25</v>
      </c>
      <c r="J12" s="7">
        <v>0</v>
      </c>
      <c r="K12" s="7">
        <v>0</v>
      </c>
      <c r="L12" s="7">
        <v>0</v>
      </c>
      <c r="M12" s="7">
        <v>0</v>
      </c>
    </row>
    <row r="13" spans="1:13" s="7" customFormat="1" ht="36" customHeight="1" x14ac:dyDescent="0.2">
      <c r="A13" s="21">
        <v>2</v>
      </c>
      <c r="B13" s="25" t="s">
        <v>64</v>
      </c>
      <c r="C13" s="23" t="s">
        <v>65</v>
      </c>
      <c r="D13" s="26" t="s">
        <v>59</v>
      </c>
      <c r="E13" s="7">
        <v>1</v>
      </c>
      <c r="F13" s="7">
        <v>0</v>
      </c>
      <c r="G13" s="7">
        <v>0</v>
      </c>
      <c r="H13" s="7">
        <v>0.25</v>
      </c>
      <c r="I13" s="7">
        <v>0</v>
      </c>
      <c r="J13" s="7">
        <v>0</v>
      </c>
      <c r="K13" s="7">
        <v>0</v>
      </c>
      <c r="L13" s="7">
        <v>0</v>
      </c>
      <c r="M13" s="7">
        <v>0</v>
      </c>
    </row>
    <row r="14" spans="1:13" s="7" customFormat="1" ht="36" customHeight="1" x14ac:dyDescent="0.2">
      <c r="A14" s="21">
        <v>2</v>
      </c>
      <c r="B14" s="22" t="s">
        <v>66</v>
      </c>
      <c r="C14" s="23" t="s">
        <v>67</v>
      </c>
      <c r="D14" s="24" t="s">
        <v>68</v>
      </c>
      <c r="E14" s="7">
        <v>0</v>
      </c>
      <c r="F14" s="7">
        <v>1</v>
      </c>
      <c r="G14" s="7">
        <v>0</v>
      </c>
      <c r="H14" s="7">
        <v>0</v>
      </c>
      <c r="I14" s="7">
        <v>0</v>
      </c>
      <c r="J14" s="7">
        <v>0.25</v>
      </c>
      <c r="K14" s="7">
        <v>0</v>
      </c>
      <c r="L14" s="7">
        <v>0</v>
      </c>
      <c r="M14" s="7">
        <v>0</v>
      </c>
    </row>
    <row r="15" spans="1:13" s="7" customFormat="1" ht="36" customHeight="1" x14ac:dyDescent="0.2">
      <c r="A15" s="21">
        <v>1</v>
      </c>
      <c r="B15" s="25" t="s">
        <v>69</v>
      </c>
      <c r="C15" s="23" t="s">
        <v>70</v>
      </c>
      <c r="D15" s="26" t="s">
        <v>68</v>
      </c>
      <c r="E15" s="7">
        <v>0</v>
      </c>
      <c r="F15" s="7">
        <v>1</v>
      </c>
      <c r="G15" s="7">
        <v>0</v>
      </c>
      <c r="H15" s="7">
        <v>0</v>
      </c>
      <c r="I15" s="7">
        <v>0.25</v>
      </c>
      <c r="J15" s="7">
        <v>0</v>
      </c>
      <c r="K15" s="7">
        <v>0</v>
      </c>
      <c r="L15" s="7">
        <v>0</v>
      </c>
      <c r="M15" s="7">
        <v>0</v>
      </c>
    </row>
    <row r="16" spans="1:13" s="7" customFormat="1" ht="36" customHeight="1" x14ac:dyDescent="0.2">
      <c r="A16" s="21">
        <v>1</v>
      </c>
      <c r="B16" s="22" t="s">
        <v>71</v>
      </c>
      <c r="C16" s="23" t="s">
        <v>72</v>
      </c>
      <c r="D16" s="24" t="s">
        <v>68</v>
      </c>
      <c r="E16" s="7">
        <v>0</v>
      </c>
      <c r="F16" s="7">
        <v>1</v>
      </c>
      <c r="G16" s="7">
        <v>0</v>
      </c>
      <c r="H16" s="7">
        <v>0</v>
      </c>
      <c r="I16" s="7">
        <v>0</v>
      </c>
      <c r="J16" s="7">
        <v>0</v>
      </c>
      <c r="K16" s="7">
        <v>0</v>
      </c>
      <c r="L16" s="7">
        <v>0</v>
      </c>
      <c r="M16" s="7">
        <v>0</v>
      </c>
    </row>
    <row r="17" spans="1:13" s="7" customFormat="1" ht="36" customHeight="1" x14ac:dyDescent="0.2">
      <c r="A17" s="21">
        <v>1</v>
      </c>
      <c r="B17" s="25" t="s">
        <v>73</v>
      </c>
      <c r="C17" s="23" t="s">
        <v>74</v>
      </c>
      <c r="D17" s="26" t="s">
        <v>68</v>
      </c>
      <c r="E17" s="7">
        <v>0</v>
      </c>
      <c r="F17" s="7">
        <v>1</v>
      </c>
      <c r="G17" s="7">
        <v>0</v>
      </c>
      <c r="H17" s="7">
        <v>0.25</v>
      </c>
      <c r="I17" s="7">
        <v>0</v>
      </c>
      <c r="J17" s="7">
        <v>0</v>
      </c>
      <c r="K17" s="7">
        <v>0</v>
      </c>
      <c r="L17" s="7">
        <v>0</v>
      </c>
      <c r="M17" s="7">
        <v>0</v>
      </c>
    </row>
    <row r="18" spans="1:13" s="7" customFormat="1" ht="36" customHeight="1" x14ac:dyDescent="0.2">
      <c r="A18" s="21">
        <v>3</v>
      </c>
      <c r="B18" s="22" t="s">
        <v>75</v>
      </c>
      <c r="C18" s="23" t="s">
        <v>76</v>
      </c>
      <c r="D18" s="24" t="s">
        <v>77</v>
      </c>
      <c r="E18" s="7">
        <v>0</v>
      </c>
      <c r="F18" s="7">
        <v>0</v>
      </c>
      <c r="G18" s="7">
        <v>1</v>
      </c>
      <c r="H18" s="7">
        <v>0.25</v>
      </c>
      <c r="I18" s="7">
        <v>0</v>
      </c>
      <c r="J18" s="7">
        <v>0</v>
      </c>
      <c r="K18" s="7">
        <v>0</v>
      </c>
      <c r="L18" s="7">
        <v>0</v>
      </c>
      <c r="M18" s="7">
        <v>0</v>
      </c>
    </row>
    <row r="19" spans="1:13" s="7" customFormat="1" ht="36" customHeight="1" x14ac:dyDescent="0.2">
      <c r="A19" s="21">
        <v>3</v>
      </c>
      <c r="B19" s="25" t="s">
        <v>78</v>
      </c>
      <c r="C19" s="23" t="s">
        <v>79</v>
      </c>
      <c r="D19" s="26" t="s">
        <v>77</v>
      </c>
      <c r="E19" s="7">
        <v>0</v>
      </c>
      <c r="F19" s="7">
        <v>0</v>
      </c>
      <c r="G19" s="7">
        <v>1</v>
      </c>
      <c r="H19" s="7">
        <v>0</v>
      </c>
      <c r="I19" s="7">
        <v>0</v>
      </c>
      <c r="J19" s="7">
        <v>0</v>
      </c>
      <c r="K19" s="7">
        <v>0</v>
      </c>
      <c r="L19" s="7">
        <v>0.25</v>
      </c>
      <c r="M19" s="7">
        <v>0</v>
      </c>
    </row>
    <row r="20" spans="1:13" s="7" customFormat="1" ht="36" customHeight="1" x14ac:dyDescent="0.2">
      <c r="A20" s="21">
        <v>4</v>
      </c>
      <c r="B20" s="22" t="s">
        <v>80</v>
      </c>
      <c r="C20" s="23" t="s">
        <v>81</v>
      </c>
      <c r="D20" s="24" t="s">
        <v>77</v>
      </c>
      <c r="E20" s="7">
        <v>0</v>
      </c>
      <c r="F20" s="7">
        <v>0</v>
      </c>
      <c r="G20" s="7">
        <v>1</v>
      </c>
      <c r="H20" s="7">
        <v>0</v>
      </c>
      <c r="I20" s="7">
        <v>0</v>
      </c>
      <c r="J20" s="7">
        <v>0.25</v>
      </c>
      <c r="K20" s="7">
        <v>0</v>
      </c>
      <c r="L20" s="7">
        <v>0</v>
      </c>
      <c r="M20" s="7">
        <v>0</v>
      </c>
    </row>
    <row r="21" spans="1:13" s="7" customFormat="1" ht="36" customHeight="1" x14ac:dyDescent="0.2">
      <c r="A21" s="21">
        <v>3</v>
      </c>
      <c r="B21" s="25" t="s">
        <v>82</v>
      </c>
      <c r="C21" s="23" t="s">
        <v>83</v>
      </c>
      <c r="D21" s="26" t="s">
        <v>77</v>
      </c>
      <c r="E21" s="7">
        <v>0</v>
      </c>
      <c r="F21" s="7">
        <v>0</v>
      </c>
      <c r="G21" s="7">
        <v>1</v>
      </c>
      <c r="H21" s="7">
        <v>0</v>
      </c>
      <c r="I21" s="7">
        <v>0</v>
      </c>
      <c r="J21" s="7">
        <v>0</v>
      </c>
      <c r="K21" s="7">
        <v>0.25</v>
      </c>
      <c r="L21" s="7">
        <v>0</v>
      </c>
      <c r="M21" s="7">
        <v>0</v>
      </c>
    </row>
    <row r="22" spans="1:13" s="7" customFormat="1" ht="36" customHeight="1" x14ac:dyDescent="0.2">
      <c r="A22" s="21">
        <v>2</v>
      </c>
      <c r="B22" s="22" t="s">
        <v>84</v>
      </c>
      <c r="C22" s="23" t="s">
        <v>85</v>
      </c>
      <c r="D22" s="24" t="s">
        <v>38</v>
      </c>
      <c r="E22" s="7">
        <v>0</v>
      </c>
      <c r="F22" s="7">
        <v>0</v>
      </c>
      <c r="G22" s="7">
        <v>0</v>
      </c>
      <c r="H22" s="7">
        <v>1</v>
      </c>
      <c r="I22" s="7">
        <v>0.25</v>
      </c>
      <c r="J22" s="7">
        <v>0</v>
      </c>
      <c r="K22" s="7">
        <v>0</v>
      </c>
      <c r="L22" s="7">
        <v>0</v>
      </c>
      <c r="M22" s="7">
        <v>0</v>
      </c>
    </row>
    <row r="23" spans="1:13" s="7" customFormat="1" ht="36" customHeight="1" x14ac:dyDescent="0.2">
      <c r="A23" s="21">
        <v>1</v>
      </c>
      <c r="B23" s="25" t="s">
        <v>86</v>
      </c>
      <c r="C23" s="23" t="s">
        <v>87</v>
      </c>
      <c r="D23" s="26" t="s">
        <v>38</v>
      </c>
      <c r="E23" s="7">
        <v>0</v>
      </c>
      <c r="F23" s="7">
        <v>0.25</v>
      </c>
      <c r="G23" s="7">
        <v>0</v>
      </c>
      <c r="H23" s="7">
        <v>1</v>
      </c>
      <c r="I23" s="7">
        <v>0</v>
      </c>
      <c r="J23" s="7">
        <v>0</v>
      </c>
      <c r="K23" s="7">
        <v>0</v>
      </c>
      <c r="L23" s="7">
        <v>0</v>
      </c>
      <c r="M23" s="7">
        <v>0</v>
      </c>
    </row>
    <row r="24" spans="1:13" s="7" customFormat="1" ht="36" customHeight="1" x14ac:dyDescent="0.2">
      <c r="A24" s="21">
        <v>2</v>
      </c>
      <c r="B24" s="22" t="s">
        <v>88</v>
      </c>
      <c r="C24" s="23" t="s">
        <v>89</v>
      </c>
      <c r="D24" s="24" t="s">
        <v>38</v>
      </c>
      <c r="E24" s="7">
        <v>0</v>
      </c>
      <c r="F24" s="7">
        <v>0</v>
      </c>
      <c r="G24" s="7">
        <v>0</v>
      </c>
      <c r="H24" s="7">
        <v>1</v>
      </c>
      <c r="I24" s="7">
        <v>0</v>
      </c>
      <c r="J24" s="7">
        <v>0.25</v>
      </c>
      <c r="K24" s="7">
        <v>0</v>
      </c>
      <c r="L24" s="7">
        <v>0</v>
      </c>
      <c r="M24" s="7">
        <v>0</v>
      </c>
    </row>
    <row r="25" spans="1:13" s="7" customFormat="1" ht="36" customHeight="1" x14ac:dyDescent="0.2">
      <c r="A25" s="21">
        <v>2</v>
      </c>
      <c r="B25" s="25" t="s">
        <v>90</v>
      </c>
      <c r="C25" s="23" t="s">
        <v>91</v>
      </c>
      <c r="D25" s="26" t="s">
        <v>38</v>
      </c>
      <c r="E25" s="7">
        <v>0</v>
      </c>
      <c r="F25" s="7">
        <v>0</v>
      </c>
      <c r="G25" s="7">
        <v>0</v>
      </c>
      <c r="H25" s="7">
        <v>1</v>
      </c>
      <c r="I25" s="7">
        <v>0.25</v>
      </c>
      <c r="J25" s="7">
        <v>0</v>
      </c>
      <c r="K25" s="7">
        <v>0</v>
      </c>
      <c r="L25" s="7">
        <v>0</v>
      </c>
      <c r="M25" s="7">
        <v>0</v>
      </c>
    </row>
    <row r="26" spans="1:13" s="7" customFormat="1" ht="36" customHeight="1" x14ac:dyDescent="0.2">
      <c r="A26" s="21">
        <v>3</v>
      </c>
      <c r="B26" s="22" t="s">
        <v>92</v>
      </c>
      <c r="C26" s="23" t="s">
        <v>93</v>
      </c>
      <c r="D26" s="24" t="s">
        <v>94</v>
      </c>
      <c r="E26" s="7">
        <v>0</v>
      </c>
      <c r="F26" s="7">
        <v>0</v>
      </c>
      <c r="G26" s="7">
        <v>0</v>
      </c>
      <c r="H26" s="7">
        <v>0.25</v>
      </c>
      <c r="I26" s="7">
        <v>1</v>
      </c>
      <c r="J26" s="7">
        <v>0</v>
      </c>
      <c r="K26" s="7">
        <v>0</v>
      </c>
      <c r="L26" s="7">
        <v>0</v>
      </c>
      <c r="M26" s="7">
        <v>0</v>
      </c>
    </row>
    <row r="27" spans="1:13" s="7" customFormat="1" ht="36" customHeight="1" x14ac:dyDescent="0.2">
      <c r="A27" s="21">
        <v>2</v>
      </c>
      <c r="B27" s="25" t="s">
        <v>95</v>
      </c>
      <c r="C27" s="23" t="s">
        <v>96</v>
      </c>
      <c r="D27" s="26" t="s">
        <v>94</v>
      </c>
      <c r="E27" s="7">
        <v>0</v>
      </c>
      <c r="F27" s="7">
        <v>0</v>
      </c>
      <c r="G27" s="7">
        <v>0</v>
      </c>
      <c r="H27" s="7">
        <v>0</v>
      </c>
      <c r="I27" s="7">
        <v>1</v>
      </c>
      <c r="J27" s="7">
        <v>0.25</v>
      </c>
      <c r="K27" s="7">
        <v>0</v>
      </c>
      <c r="L27" s="7">
        <v>0</v>
      </c>
      <c r="M27" s="7">
        <v>0</v>
      </c>
    </row>
    <row r="28" spans="1:13" s="7" customFormat="1" ht="36" customHeight="1" x14ac:dyDescent="0.2">
      <c r="A28" s="21">
        <v>3</v>
      </c>
      <c r="B28" s="22" t="s">
        <v>97</v>
      </c>
      <c r="C28" s="23" t="s">
        <v>98</v>
      </c>
      <c r="D28" s="24" t="s">
        <v>94</v>
      </c>
      <c r="E28" s="7">
        <v>0.25</v>
      </c>
      <c r="F28" s="7">
        <v>0</v>
      </c>
      <c r="G28" s="7">
        <v>0</v>
      </c>
      <c r="H28" s="7">
        <v>0</v>
      </c>
      <c r="I28" s="7">
        <v>1</v>
      </c>
      <c r="J28" s="7">
        <v>0</v>
      </c>
      <c r="K28" s="7">
        <v>0</v>
      </c>
      <c r="L28" s="7">
        <v>0</v>
      </c>
      <c r="M28" s="7">
        <v>0</v>
      </c>
    </row>
    <row r="29" spans="1:13" s="7" customFormat="1" ht="36" customHeight="1" x14ac:dyDescent="0.2">
      <c r="A29" s="21">
        <v>2</v>
      </c>
      <c r="B29" s="25" t="s">
        <v>99</v>
      </c>
      <c r="C29" s="23" t="s">
        <v>100</v>
      </c>
      <c r="D29" s="26" t="s">
        <v>94</v>
      </c>
      <c r="E29" s="7">
        <v>0</v>
      </c>
      <c r="F29" s="7">
        <v>0</v>
      </c>
      <c r="G29" s="7">
        <v>0</v>
      </c>
      <c r="H29" s="7">
        <v>0</v>
      </c>
      <c r="I29" s="7">
        <v>1</v>
      </c>
      <c r="J29" s="7">
        <v>0.25</v>
      </c>
      <c r="K29" s="7">
        <v>0</v>
      </c>
      <c r="L29" s="7">
        <v>0</v>
      </c>
      <c r="M29" s="7">
        <v>0</v>
      </c>
    </row>
    <row r="30" spans="1:13" s="7" customFormat="1" ht="36" customHeight="1" x14ac:dyDescent="0.2">
      <c r="A30" s="21">
        <v>2</v>
      </c>
      <c r="B30" s="22" t="s">
        <v>101</v>
      </c>
      <c r="C30" s="23" t="s">
        <v>102</v>
      </c>
      <c r="D30" s="24" t="s">
        <v>40</v>
      </c>
      <c r="E30" s="7">
        <v>0</v>
      </c>
      <c r="F30" s="7">
        <v>0</v>
      </c>
      <c r="G30" s="7">
        <v>0.25</v>
      </c>
      <c r="H30" s="7">
        <v>0</v>
      </c>
      <c r="I30" s="7">
        <v>0</v>
      </c>
      <c r="J30" s="7">
        <v>1</v>
      </c>
      <c r="K30" s="7">
        <v>0</v>
      </c>
      <c r="L30" s="7">
        <v>0</v>
      </c>
      <c r="M30" s="7">
        <v>0</v>
      </c>
    </row>
    <row r="31" spans="1:13" s="7" customFormat="1" ht="36" customHeight="1" x14ac:dyDescent="0.2">
      <c r="A31" s="21">
        <v>3</v>
      </c>
      <c r="B31" s="25" t="s">
        <v>103</v>
      </c>
      <c r="C31" s="23" t="s">
        <v>104</v>
      </c>
      <c r="D31" s="26" t="s">
        <v>40</v>
      </c>
      <c r="E31" s="7">
        <v>0</v>
      </c>
      <c r="F31" s="7">
        <v>0</v>
      </c>
      <c r="G31" s="7">
        <v>0</v>
      </c>
      <c r="H31" s="7">
        <v>0</v>
      </c>
      <c r="I31" s="7">
        <v>0.25</v>
      </c>
      <c r="J31" s="7">
        <v>1</v>
      </c>
      <c r="K31" s="7">
        <v>0</v>
      </c>
      <c r="L31" s="7">
        <v>0</v>
      </c>
      <c r="M31" s="7">
        <v>0</v>
      </c>
    </row>
    <row r="32" spans="1:13" s="7" customFormat="1" ht="36" customHeight="1" x14ac:dyDescent="0.2">
      <c r="A32" s="21">
        <v>4</v>
      </c>
      <c r="B32" s="22" t="s">
        <v>105</v>
      </c>
      <c r="C32" s="23" t="s">
        <v>106</v>
      </c>
      <c r="D32" s="24" t="s">
        <v>40</v>
      </c>
      <c r="E32" s="7">
        <v>0</v>
      </c>
      <c r="F32" s="7">
        <v>0</v>
      </c>
      <c r="G32" s="7">
        <v>0.25</v>
      </c>
      <c r="H32" s="7">
        <v>0</v>
      </c>
      <c r="I32" s="7">
        <v>0</v>
      </c>
      <c r="J32" s="7">
        <v>1</v>
      </c>
      <c r="K32" s="7">
        <v>0</v>
      </c>
      <c r="L32" s="7">
        <v>0</v>
      </c>
      <c r="M32" s="7">
        <v>0</v>
      </c>
    </row>
    <row r="33" spans="1:13" s="7" customFormat="1" ht="36" customHeight="1" x14ac:dyDescent="0.2">
      <c r="A33" s="21">
        <v>4</v>
      </c>
      <c r="B33" s="25" t="s">
        <v>107</v>
      </c>
      <c r="C33" s="23" t="s">
        <v>108</v>
      </c>
      <c r="D33" s="26" t="s">
        <v>40</v>
      </c>
      <c r="E33" s="7">
        <v>0</v>
      </c>
      <c r="F33" s="7">
        <v>0</v>
      </c>
      <c r="G33" s="7">
        <v>0</v>
      </c>
      <c r="H33" s="7">
        <v>0</v>
      </c>
      <c r="I33" s="7">
        <v>0</v>
      </c>
      <c r="J33" s="7">
        <v>1</v>
      </c>
      <c r="K33" s="7">
        <v>0</v>
      </c>
      <c r="L33" s="7">
        <v>0.25</v>
      </c>
      <c r="M33" s="7">
        <v>0</v>
      </c>
    </row>
    <row r="34" spans="1:13" s="7" customFormat="1" ht="36" customHeight="1" x14ac:dyDescent="0.2">
      <c r="A34" s="21">
        <v>3</v>
      </c>
      <c r="B34" s="22" t="s">
        <v>109</v>
      </c>
      <c r="C34" s="23" t="s">
        <v>110</v>
      </c>
      <c r="D34" s="24" t="s">
        <v>41</v>
      </c>
      <c r="E34" s="7">
        <v>0</v>
      </c>
      <c r="F34" s="7">
        <v>0</v>
      </c>
      <c r="G34" s="7">
        <v>0</v>
      </c>
      <c r="H34" s="7">
        <v>0</v>
      </c>
      <c r="I34" s="7">
        <v>0</v>
      </c>
      <c r="J34" s="7">
        <v>0</v>
      </c>
      <c r="K34" s="7">
        <v>1</v>
      </c>
      <c r="L34" s="7">
        <v>0.25</v>
      </c>
      <c r="M34" s="7">
        <v>0</v>
      </c>
    </row>
    <row r="35" spans="1:13" s="7" customFormat="1" ht="36" customHeight="1" x14ac:dyDescent="0.2">
      <c r="A35" s="21">
        <v>3</v>
      </c>
      <c r="B35" s="25" t="s">
        <v>111</v>
      </c>
      <c r="C35" s="23" t="s">
        <v>112</v>
      </c>
      <c r="D35" s="26" t="s">
        <v>41</v>
      </c>
      <c r="E35" s="7">
        <v>0</v>
      </c>
      <c r="F35" s="7">
        <v>0</v>
      </c>
      <c r="G35" s="7">
        <v>0</v>
      </c>
      <c r="H35" s="7">
        <v>0</v>
      </c>
      <c r="I35" s="7">
        <v>0.25</v>
      </c>
      <c r="J35" s="7">
        <v>0</v>
      </c>
      <c r="K35" s="7">
        <v>1</v>
      </c>
      <c r="L35" s="7">
        <v>0</v>
      </c>
      <c r="M35" s="7">
        <v>0</v>
      </c>
    </row>
    <row r="36" spans="1:13" s="7" customFormat="1" ht="36" customHeight="1" x14ac:dyDescent="0.2">
      <c r="A36" s="21">
        <v>3</v>
      </c>
      <c r="B36" s="22" t="s">
        <v>113</v>
      </c>
      <c r="C36" s="23" t="s">
        <v>114</v>
      </c>
      <c r="D36" s="24" t="s">
        <v>41</v>
      </c>
      <c r="E36" s="7">
        <v>0</v>
      </c>
      <c r="F36" s="7">
        <v>0</v>
      </c>
      <c r="G36" s="7">
        <v>0.25</v>
      </c>
      <c r="H36" s="7">
        <v>0</v>
      </c>
      <c r="I36" s="7">
        <v>0</v>
      </c>
      <c r="J36" s="7">
        <v>0</v>
      </c>
      <c r="K36" s="7">
        <v>1</v>
      </c>
      <c r="L36" s="7">
        <v>0</v>
      </c>
      <c r="M36" s="7">
        <v>0</v>
      </c>
    </row>
    <row r="37" spans="1:13" s="7" customFormat="1" ht="36" customHeight="1" x14ac:dyDescent="0.2">
      <c r="A37" s="21">
        <v>2</v>
      </c>
      <c r="B37" s="25" t="s">
        <v>115</v>
      </c>
      <c r="C37" s="23" t="s">
        <v>116</v>
      </c>
      <c r="D37" s="26" t="s">
        <v>41</v>
      </c>
      <c r="E37" s="7">
        <v>0</v>
      </c>
      <c r="F37" s="7">
        <v>0</v>
      </c>
      <c r="G37" s="7">
        <v>0</v>
      </c>
      <c r="H37" s="7">
        <v>0</v>
      </c>
      <c r="I37" s="7">
        <v>0.25</v>
      </c>
      <c r="J37" s="7">
        <v>0</v>
      </c>
      <c r="K37" s="7">
        <v>1</v>
      </c>
      <c r="L37" s="7">
        <v>0</v>
      </c>
      <c r="M37" s="7">
        <v>0</v>
      </c>
    </row>
    <row r="38" spans="1:13" s="7" customFormat="1" ht="36" customHeight="1" x14ac:dyDescent="0.2">
      <c r="A38" s="21">
        <v>2</v>
      </c>
      <c r="B38" s="22" t="s">
        <v>117</v>
      </c>
      <c r="C38" s="23" t="s">
        <v>118</v>
      </c>
      <c r="D38" s="24" t="s">
        <v>119</v>
      </c>
      <c r="E38" s="7">
        <v>0</v>
      </c>
      <c r="F38" s="7">
        <v>0</v>
      </c>
      <c r="G38" s="7">
        <v>0.25</v>
      </c>
      <c r="H38" s="7">
        <v>0</v>
      </c>
      <c r="I38" s="7">
        <v>0</v>
      </c>
      <c r="J38" s="7">
        <v>0</v>
      </c>
      <c r="K38" s="7">
        <v>0</v>
      </c>
      <c r="L38" s="7">
        <v>1</v>
      </c>
      <c r="M38" s="7">
        <v>0</v>
      </c>
    </row>
    <row r="39" spans="1:13" s="7" customFormat="1" ht="36" customHeight="1" x14ac:dyDescent="0.2">
      <c r="A39" s="21">
        <v>2</v>
      </c>
      <c r="B39" s="25" t="s">
        <v>120</v>
      </c>
      <c r="C39" s="23" t="s">
        <v>121</v>
      </c>
      <c r="D39" s="26" t="s">
        <v>119</v>
      </c>
      <c r="E39" s="7">
        <v>0.25</v>
      </c>
      <c r="F39" s="7">
        <v>0</v>
      </c>
      <c r="G39" s="7">
        <v>0</v>
      </c>
      <c r="H39" s="7">
        <v>0</v>
      </c>
      <c r="I39" s="7">
        <v>0</v>
      </c>
      <c r="J39" s="7">
        <v>0</v>
      </c>
      <c r="K39" s="7">
        <v>0</v>
      </c>
      <c r="L39" s="7">
        <v>1</v>
      </c>
      <c r="M39" s="7">
        <v>0</v>
      </c>
    </row>
    <row r="40" spans="1:13" s="7" customFormat="1" ht="36" customHeight="1" x14ac:dyDescent="0.2">
      <c r="A40" s="21">
        <v>2</v>
      </c>
      <c r="B40" s="22" t="s">
        <v>122</v>
      </c>
      <c r="C40" s="23" t="s">
        <v>123</v>
      </c>
      <c r="D40" s="24" t="s">
        <v>119</v>
      </c>
      <c r="E40" s="7">
        <v>0</v>
      </c>
      <c r="F40" s="7">
        <v>0</v>
      </c>
      <c r="G40" s="7">
        <v>0</v>
      </c>
      <c r="H40" s="7">
        <v>0</v>
      </c>
      <c r="I40" s="7">
        <v>0</v>
      </c>
      <c r="J40" s="7">
        <v>0.25</v>
      </c>
      <c r="K40" s="7">
        <v>0</v>
      </c>
      <c r="L40" s="7">
        <v>1</v>
      </c>
      <c r="M40" s="7">
        <v>0</v>
      </c>
    </row>
    <row r="41" spans="1:13" s="7" customFormat="1" ht="36" customHeight="1" x14ac:dyDescent="0.2">
      <c r="A41" s="21">
        <v>2</v>
      </c>
      <c r="B41" s="25" t="s">
        <v>124</v>
      </c>
      <c r="C41" s="23" t="s">
        <v>125</v>
      </c>
      <c r="D41" s="26" t="s">
        <v>119</v>
      </c>
      <c r="E41" s="7">
        <v>0</v>
      </c>
      <c r="F41" s="7">
        <v>0</v>
      </c>
      <c r="G41" s="7">
        <v>0</v>
      </c>
      <c r="H41" s="7">
        <v>0</v>
      </c>
      <c r="I41" s="7">
        <v>0</v>
      </c>
      <c r="J41" s="7">
        <v>0</v>
      </c>
      <c r="K41" s="7">
        <v>0.25</v>
      </c>
      <c r="L41" s="7">
        <v>1</v>
      </c>
      <c r="M41" s="7">
        <v>0</v>
      </c>
    </row>
    <row r="42" spans="1:13" s="7" customFormat="1" ht="36" customHeight="1" x14ac:dyDescent="0.2">
      <c r="A42" s="21">
        <v>1</v>
      </c>
      <c r="B42" s="22" t="s">
        <v>126</v>
      </c>
      <c r="C42" s="23" t="s">
        <v>127</v>
      </c>
      <c r="D42" s="24" t="s">
        <v>43</v>
      </c>
      <c r="E42" s="7">
        <v>0</v>
      </c>
      <c r="F42" s="7">
        <v>0</v>
      </c>
      <c r="G42" s="7">
        <v>0</v>
      </c>
      <c r="H42" s="7">
        <v>0.25</v>
      </c>
      <c r="I42" s="7">
        <v>0</v>
      </c>
      <c r="J42" s="7">
        <v>0</v>
      </c>
      <c r="K42" s="7">
        <v>0</v>
      </c>
      <c r="L42" s="7">
        <v>0</v>
      </c>
      <c r="M42" s="7">
        <v>1</v>
      </c>
    </row>
    <row r="43" spans="1:13" s="7" customFormat="1" ht="36" customHeight="1" x14ac:dyDescent="0.2">
      <c r="A43" s="21">
        <v>1</v>
      </c>
      <c r="B43" s="25" t="s">
        <v>128</v>
      </c>
      <c r="C43" s="23" t="s">
        <v>129</v>
      </c>
      <c r="D43" s="26" t="s">
        <v>43</v>
      </c>
      <c r="E43" s="7">
        <v>0</v>
      </c>
      <c r="F43" s="7">
        <v>0</v>
      </c>
      <c r="G43" s="7">
        <v>0</v>
      </c>
      <c r="H43" s="7">
        <v>0</v>
      </c>
      <c r="I43" s="7">
        <v>0.25</v>
      </c>
      <c r="J43" s="7">
        <v>0</v>
      </c>
      <c r="K43" s="7">
        <v>0</v>
      </c>
      <c r="L43" s="7">
        <v>0</v>
      </c>
      <c r="M43" s="7">
        <v>1</v>
      </c>
    </row>
    <row r="44" spans="1:13" s="7" customFormat="1" ht="36" customHeight="1" x14ac:dyDescent="0.2">
      <c r="A44" s="21">
        <v>1</v>
      </c>
      <c r="B44" s="22" t="s">
        <v>130</v>
      </c>
      <c r="C44" s="23" t="s">
        <v>131</v>
      </c>
      <c r="D44" s="24" t="s">
        <v>43</v>
      </c>
      <c r="E44" s="7">
        <v>0</v>
      </c>
      <c r="F44" s="7">
        <v>0</v>
      </c>
      <c r="G44" s="7">
        <v>0</v>
      </c>
      <c r="H44" s="7">
        <v>0.25</v>
      </c>
      <c r="I44" s="7">
        <v>0</v>
      </c>
      <c r="J44" s="7">
        <v>0</v>
      </c>
      <c r="K44" s="7">
        <v>0</v>
      </c>
      <c r="L44" s="7">
        <v>0</v>
      </c>
      <c r="M44" s="7">
        <v>1</v>
      </c>
    </row>
    <row r="45" spans="1:13" s="7" customFormat="1" ht="36" customHeight="1" x14ac:dyDescent="0.2">
      <c r="A45" s="21">
        <v>1</v>
      </c>
      <c r="B45" s="25" t="s">
        <v>132</v>
      </c>
      <c r="C45" s="23" t="s">
        <v>133</v>
      </c>
      <c r="D45" s="26" t="s">
        <v>43</v>
      </c>
      <c r="E45" s="7">
        <v>0.25</v>
      </c>
      <c r="F45" s="7">
        <v>0</v>
      </c>
      <c r="G45" s="7">
        <v>0</v>
      </c>
      <c r="H45" s="7">
        <v>0</v>
      </c>
      <c r="I45" s="7">
        <v>0</v>
      </c>
      <c r="J45" s="7">
        <v>0</v>
      </c>
      <c r="K45" s="7">
        <v>0</v>
      </c>
      <c r="L45" s="7">
        <v>0</v>
      </c>
      <c r="M45" s="7">
        <v>1</v>
      </c>
    </row>
    <row r="46" spans="1:13" ht="21.75" customHeight="1" x14ac:dyDescent="0.2"/>
    <row r="47" spans="1:13" ht="21.75" customHeight="1" x14ac:dyDescent="0.2"/>
    <row r="48" spans="1:13" ht="21.75" customHeight="1" x14ac:dyDescent="0.2">
      <c r="A48" s="202" t="s">
        <v>134</v>
      </c>
      <c r="B48" s="202"/>
      <c r="C48" s="202"/>
      <c r="D48" s="202"/>
      <c r="E48" s="202"/>
    </row>
    <row r="49" spans="1:16" ht="21.75" customHeight="1" x14ac:dyDescent="0.2">
      <c r="A49" s="27" t="s">
        <v>135</v>
      </c>
      <c r="B49" s="27" t="s">
        <v>136</v>
      </c>
      <c r="C49" s="27" t="s">
        <v>137</v>
      </c>
      <c r="P49" t="s">
        <v>138</v>
      </c>
    </row>
    <row r="50" spans="1:16" s="7" customFormat="1" ht="21.75" customHeight="1" x14ac:dyDescent="0.2">
      <c r="A50" s="28" t="s">
        <v>35</v>
      </c>
      <c r="B50" s="29">
        <f>ROUND((SUMPRODUCT($A$10:$A$45,$E$10:$E$45))/(4*SUM($E$10:$E$45))*100,0)</f>
        <v>66</v>
      </c>
      <c r="C50" s="1" t="str">
        <f>IF(B50="","",IF(B50&gt;=Admin_Settings!$B$3,Admin_Settings!$B$7,IF(B50&gt;=Admin_Settings!$B$4,Admin_Settings!$B$8,IF(B50&gt;=Admin_Settings!$B$5,Admin_Settings!$B$9,IF(B50&gt;=Admin_Settings!$B$6,Admin_Settings!$B$10,Admin_Settings!$B$11)))))</f>
        <v>Moderate Fit</v>
      </c>
      <c r="N50" s="7">
        <f t="shared" ref="N50:N58" si="0">B50+ROW()/10000</f>
        <v>66.004999999999995</v>
      </c>
      <c r="O50" s="7" t="str">
        <f>INDEX($A$50:$A$58,MATCH(LARGE($N$50:$N$58,1),$N$50:$N$58,0))</f>
        <v>Learning &amp; Support Path</v>
      </c>
      <c r="P50" s="30">
        <f>INDEX($B$50:$B$58,MATCH(LARGE($N$50:$N$58,1),$N$50:$N$58,0))</f>
        <v>79</v>
      </c>
    </row>
    <row r="51" spans="1:16" s="7" customFormat="1" ht="21.75" customHeight="1" x14ac:dyDescent="0.2">
      <c r="A51" s="31" t="s">
        <v>68</v>
      </c>
      <c r="B51" s="32">
        <f>ROUND((SUMPRODUCT($A$10:$A$45,$F$10:$F$45))/(4*SUM($F$10:$F$45))*100,0)</f>
        <v>31</v>
      </c>
      <c r="C51" s="1" t="str">
        <f>IF(B51="","",IF(B51&gt;=Admin_Settings!$B$3,Admin_Settings!$B$7,IF(B51&gt;=Admin_Settings!$B$4,Admin_Settings!$B$8,IF(B51&gt;=Admin_Settings!$B$5,Admin_Settings!$B$9,IF(B51&gt;=Admin_Settings!$B$6,Admin_Settings!$B$10,Admin_Settings!$B$11)))))</f>
        <v>Low Fit</v>
      </c>
      <c r="N51" s="7">
        <f t="shared" si="0"/>
        <v>31.005099999999999</v>
      </c>
      <c r="O51" s="7" t="str">
        <f>INDEX($A$50:$A$58,MATCH(LARGE($N$50:$N$58,2),$N$50:$N$58,0))</f>
        <v>Business Growth &amp; Leadership Path</v>
      </c>
      <c r="P51" s="30">
        <f>INDEX($B$50:$B$58,MATCH(LARGE($N$50:$N$58,2),$N$50:$N$58,0))</f>
        <v>75</v>
      </c>
    </row>
    <row r="52" spans="1:16" s="7" customFormat="1" ht="21.75" customHeight="1" x14ac:dyDescent="0.2">
      <c r="A52" s="33" t="s">
        <v>77</v>
      </c>
      <c r="B52" s="34">
        <f>ROUND((SUMPRODUCT($A$10:$A$45,$G$10:$G$45))/(4*SUM($G$10:$G$45))*100,0)</f>
        <v>79</v>
      </c>
      <c r="C52" s="1" t="str">
        <f>IF(B52="","",IF(B52&gt;=Admin_Settings!$B$3,Admin_Settings!$B$7,IF(B52&gt;=Admin_Settings!$B$4,Admin_Settings!$B$8,IF(B52&gt;=Admin_Settings!$B$5,Admin_Settings!$B$9,IF(B52&gt;=Admin_Settings!$B$6,Admin_Settings!$B$10,Admin_Settings!$B$11)))))</f>
        <v>Strong Fit</v>
      </c>
      <c r="N52" s="7">
        <f t="shared" si="0"/>
        <v>79.005200000000002</v>
      </c>
      <c r="O52" s="7" t="str">
        <f>INDEX($A$50:$A$58,MATCH(LARGE($N$50:$N$58,3),$N$50:$N$58,0))</f>
        <v>Creative Path</v>
      </c>
      <c r="P52" s="30">
        <f>INDEX($B$50:$B$58,MATCH(LARGE($N$50:$N$58,3),$N$50:$N$58,0))</f>
        <v>68</v>
      </c>
    </row>
    <row r="53" spans="1:16" s="7" customFormat="1" ht="21.75" customHeight="1" x14ac:dyDescent="0.2">
      <c r="A53" s="35" t="s">
        <v>38</v>
      </c>
      <c r="B53" s="36">
        <f>ROUND((SUMPRODUCT($A$10:$A$45,$H$10:$H$45))/(4*SUM($H$10:$H$45))*100,0)</f>
        <v>44</v>
      </c>
      <c r="C53" s="1" t="str">
        <f>IF(B53="","",IF(B53&gt;=Admin_Settings!$B$3,Admin_Settings!$B$7,IF(B53&gt;=Admin_Settings!$B$4,Admin_Settings!$B$8,IF(B53&gt;=Admin_Settings!$B$5,Admin_Settings!$B$9,IF(B53&gt;=Admin_Settings!$B$6,Admin_Settings!$B$10,Admin_Settings!$B$11)))))</f>
        <v>Emerging Fit</v>
      </c>
      <c r="N53" s="7">
        <f t="shared" si="0"/>
        <v>44.005299999999998</v>
      </c>
      <c r="O53" s="7" t="str">
        <f>INDEX($A$50:$A$58,MATCH(LARGE($N$50:$N$58,4),$N$50:$N$58,0))</f>
        <v>Clinical Care Path</v>
      </c>
      <c r="P53" s="30">
        <f>INDEX($B$50:$B$58,MATCH(LARGE($N$50:$N$58,4),$N$50:$N$58,0))</f>
        <v>66</v>
      </c>
    </row>
    <row r="54" spans="1:16" s="7" customFormat="1" ht="21.75" customHeight="1" x14ac:dyDescent="0.2">
      <c r="A54" s="37" t="s">
        <v>39</v>
      </c>
      <c r="B54" s="38">
        <f>ROUND((SUMPRODUCT($A$10:$A$45,$I$10:$I$45))/(4*SUM($I$10:$I$45))*100,0)</f>
        <v>60</v>
      </c>
      <c r="C54" s="1" t="str">
        <f>IF(B54="","",IF(B54&gt;=Admin_Settings!$B$3,Admin_Settings!$B$7,IF(B54&gt;=Admin_Settings!$B$4,Admin_Settings!$B$8,IF(B54&gt;=Admin_Settings!$B$5,Admin_Settings!$B$9,IF(B54&gt;=Admin_Settings!$B$6,Admin_Settings!$B$10,Admin_Settings!$B$11)))))</f>
        <v>Moderate Fit</v>
      </c>
      <c r="N54" s="7">
        <f t="shared" si="0"/>
        <v>60.005400000000002</v>
      </c>
      <c r="O54" s="7" t="str">
        <f>INDEX($A$50:$A$58,MATCH(LARGE($N$50:$N$58,5),$N$50:$N$58,0))</f>
        <v>STEM Systems Path</v>
      </c>
      <c r="P54" s="30">
        <f>INDEX($B$50:$B$58,MATCH(LARGE($N$50:$N$58,5),$N$50:$N$58,0))</f>
        <v>60</v>
      </c>
    </row>
    <row r="55" spans="1:16" s="7" customFormat="1" ht="21.75" customHeight="1" x14ac:dyDescent="0.2">
      <c r="A55" s="39" t="s">
        <v>139</v>
      </c>
      <c r="B55" s="40">
        <f>ROUND((SUMPRODUCT($A$10:$A$45,$J$10:$J$45))/(4*SUM($J$10:$J$45))*100,0)</f>
        <v>75</v>
      </c>
      <c r="C55" s="1" t="str">
        <f>IF(B55="","",IF(B55&gt;=Admin_Settings!$B$3,Admin_Settings!$B$7,IF(B55&gt;=Admin_Settings!$B$4,Admin_Settings!$B$8,IF(B55&gt;=Admin_Settings!$B$5,Admin_Settings!$B$9,IF(B55&gt;=Admin_Settings!$B$6,Admin_Settings!$B$10,Admin_Settings!$B$11)))))</f>
        <v>Strong Fit</v>
      </c>
      <c r="N55" s="7">
        <f t="shared" si="0"/>
        <v>75.005499999999998</v>
      </c>
      <c r="O55" s="7" t="str">
        <f>INDEX($A$50:$A$58,MATCH(LARGE($N$50:$N$58,6),$N$50:$N$58,0))</f>
        <v>Experience &amp; Service Path</v>
      </c>
      <c r="P55" s="30">
        <f>INDEX($B$50:$B$58,MATCH(LARGE($N$50:$N$58,6),$N$50:$N$58,0))</f>
        <v>55</v>
      </c>
    </row>
    <row r="56" spans="1:16" s="7" customFormat="1" ht="21.75" customHeight="1" x14ac:dyDescent="0.2">
      <c r="A56" s="41" t="s">
        <v>41</v>
      </c>
      <c r="B56" s="42">
        <f>ROUND((SUMPRODUCT($A$10:$A$45,$K$10:$K$45))/(4*SUM($K$10:$K$45))*100,0)</f>
        <v>68</v>
      </c>
      <c r="C56" s="1" t="str">
        <f>IF(B56="","",IF(B56&gt;=Admin_Settings!$B$3,Admin_Settings!$B$7,IF(B56&gt;=Admin_Settings!$B$4,Admin_Settings!$B$8,IF(B56&gt;=Admin_Settings!$B$5,Admin_Settings!$B$9,IF(B56&gt;=Admin_Settings!$B$6,Admin_Settings!$B$10,Admin_Settings!$B$11)))))</f>
        <v>Moderate Fit</v>
      </c>
      <c r="N56" s="7">
        <f t="shared" si="0"/>
        <v>68.005600000000001</v>
      </c>
      <c r="O56" s="7" t="str">
        <f>INDEX($A$50:$A$58,MATCH(LARGE($N$50:$N$58,7),$N$50:$N$58,0))</f>
        <v>Build &amp; Fix Path</v>
      </c>
      <c r="P56" s="30">
        <f>INDEX($B$50:$B$58,MATCH(LARGE($N$50:$N$58,7),$N$50:$N$58,0))</f>
        <v>44</v>
      </c>
    </row>
    <row r="57" spans="1:16" s="7" customFormat="1" ht="21.75" customHeight="1" x14ac:dyDescent="0.2">
      <c r="A57" s="43" t="s">
        <v>119</v>
      </c>
      <c r="B57" s="44">
        <f>ROUND((SUMPRODUCT($A$10:$A$45,$L$10:$L$45))/(4*SUM($L$10:$L$45))*100,0)</f>
        <v>55</v>
      </c>
      <c r="C57" s="1" t="str">
        <f>IF(B57="","",IF(B57&gt;=Admin_Settings!$B$3,Admin_Settings!$B$7,IF(B57&gt;=Admin_Settings!$B$4,Admin_Settings!$B$8,IF(B57&gt;=Admin_Settings!$B$5,Admin_Settings!$B$9,IF(B57&gt;=Admin_Settings!$B$6,Admin_Settings!$B$10,Admin_Settings!$B$11)))))</f>
        <v>Moderate Fit</v>
      </c>
      <c r="N57" s="7">
        <f t="shared" si="0"/>
        <v>55.005699999999997</v>
      </c>
      <c r="O57" s="7" t="str">
        <f>INDEX($A$50:$A$58,MATCH(LARGE($N$50:$N$58,8),$N$50:$N$58,0))</f>
        <v>Protection Path</v>
      </c>
      <c r="P57" s="30">
        <f>INDEX($B$50:$B$58,MATCH(LARGE($N$50:$N$58,8),$N$50:$N$58,0))</f>
        <v>31</v>
      </c>
    </row>
    <row r="58" spans="1:16" s="7" customFormat="1" ht="21.75" customHeight="1" x14ac:dyDescent="0.2">
      <c r="A58" s="33" t="s">
        <v>43</v>
      </c>
      <c r="B58" s="34">
        <f>ROUND((SUMPRODUCT($A$10:$A$45,$M$10:$M$45))/(4*SUM($M$10:$M$45))*100,0)</f>
        <v>25</v>
      </c>
      <c r="C58" s="1" t="str">
        <f>IF(B58="","",IF(B58&gt;=Admin_Settings!$B$3,Admin_Settings!$B$7,IF(B58&gt;=Admin_Settings!$B$4,Admin_Settings!$B$8,IF(B58&gt;=Admin_Settings!$B$5,Admin_Settings!$B$9,IF(B58&gt;=Admin_Settings!$B$6,Admin_Settings!$B$10,Admin_Settings!$B$11)))))</f>
        <v>Low Fit</v>
      </c>
      <c r="N58" s="7">
        <f t="shared" si="0"/>
        <v>25.005800000000001</v>
      </c>
      <c r="O58" s="7" t="str">
        <f>INDEX($A$50:$A$58,MATCH(LARGE($N$50:$N$58,9),$N$50:$N$58,0))</f>
        <v>Outdoor Systems Path</v>
      </c>
      <c r="P58" s="30">
        <f>INDEX($B$50:$B$58,MATCH(LARGE($N$50:$N$58,9),$N$50:$N$58,0))</f>
        <v>25</v>
      </c>
    </row>
    <row r="59" spans="1:16" ht="21.75" customHeight="1" x14ac:dyDescent="0.2"/>
    <row r="60" spans="1:16" ht="21.75" customHeight="1" x14ac:dyDescent="0.2">
      <c r="A60" s="199" t="s">
        <v>140</v>
      </c>
      <c r="B60" s="199"/>
      <c r="C60" s="199"/>
      <c r="D60" s="199"/>
      <c r="E60" s="199"/>
      <c r="F60" s="45"/>
      <c r="G60" s="45"/>
      <c r="H60" s="45"/>
      <c r="I60" s="45"/>
      <c r="J60" s="45"/>
      <c r="K60" s="45"/>
      <c r="L60" s="45"/>
      <c r="M60" s="45"/>
    </row>
    <row r="61" spans="1:16" ht="21.75" customHeight="1" x14ac:dyDescent="0.2">
      <c r="A61" s="46" t="s">
        <v>141</v>
      </c>
      <c r="B61" s="46" t="s">
        <v>135</v>
      </c>
      <c r="C61" s="47" t="s">
        <v>138</v>
      </c>
      <c r="D61" s="46" t="s">
        <v>137</v>
      </c>
      <c r="E61" s="45"/>
      <c r="F61" s="45"/>
      <c r="G61" s="45"/>
      <c r="H61" s="45"/>
      <c r="I61" s="45"/>
      <c r="J61" s="45"/>
      <c r="K61" s="45"/>
      <c r="L61" s="45"/>
      <c r="M61" s="45"/>
    </row>
    <row r="62" spans="1:16" ht="21.75" customHeight="1" x14ac:dyDescent="0.2">
      <c r="A62" s="48">
        <v>1</v>
      </c>
      <c r="B62" s="49" t="str">
        <f>IFERROR(INDEX($A$50:$A$58,MATCH(LARGE($N$50:$N$58,1),$N$50:$N$58,0)),"")</f>
        <v>Learning &amp; Support Path</v>
      </c>
      <c r="C62" s="50">
        <f>IFERROR(INDEX($B$50:$B$58,MATCH(LARGE($N$50:$N$58,1),$N$50:$N$58,0)),"")</f>
        <v>79</v>
      </c>
      <c r="D62" s="49" t="str">
        <f>IFERROR(INDEX($C$50:$C$58,MATCH(LARGE($N$50:$N$58,1),$N$50:$N$58,0)),"")</f>
        <v>Strong Fit</v>
      </c>
      <c r="E62" s="45"/>
      <c r="F62" s="45"/>
      <c r="G62" s="45"/>
      <c r="H62" s="45"/>
      <c r="I62" s="45"/>
      <c r="J62" s="45"/>
      <c r="K62" s="45"/>
      <c r="L62" s="45"/>
      <c r="M62" s="45"/>
    </row>
    <row r="63" spans="1:16" ht="21.75" customHeight="1" x14ac:dyDescent="0.2">
      <c r="A63" s="48">
        <v>2</v>
      </c>
      <c r="B63" s="49" t="str">
        <f>IFERROR(INDEX($A$50:$A$58,MATCH(LARGE($N$50:$N$58,2),$N$50:$N$58,0)),"")</f>
        <v>Business Growth &amp; Leadership Path</v>
      </c>
      <c r="C63" s="50">
        <f>IFERROR(INDEX($B$50:$B$58,MATCH(LARGE($N$50:$N$58,2),$N$50:$N$58,0)),"")</f>
        <v>75</v>
      </c>
      <c r="D63" s="49" t="str">
        <f>IFERROR(INDEX($C$50:$C$58,MATCH(LARGE($N$50:$N$58,2),$N$50:$N$58,0)),"")</f>
        <v>Strong Fit</v>
      </c>
      <c r="E63" s="45"/>
      <c r="F63" s="45"/>
      <c r="G63" s="45"/>
      <c r="H63" s="45"/>
      <c r="I63" s="45"/>
      <c r="J63" s="45"/>
      <c r="K63" s="45"/>
      <c r="L63" s="45"/>
      <c r="M63" s="45"/>
    </row>
    <row r="64" spans="1:16" ht="21.75" customHeight="1" x14ac:dyDescent="0.2">
      <c r="A64" s="48">
        <v>3</v>
      </c>
      <c r="B64" s="49" t="str">
        <f>IFERROR(INDEX($A$50:$A$58,MATCH(LARGE($N$50:$N$58,3),$N$50:$N$58,0)),"")</f>
        <v>Creative Path</v>
      </c>
      <c r="C64" s="50">
        <f>IFERROR(INDEX($B$50:$B$58,MATCH(LARGE($N$50:$N$58,3),$N$50:$N$58,0)),"")</f>
        <v>68</v>
      </c>
      <c r="D64" s="49" t="str">
        <f>IFERROR(INDEX($C$50:$C$58,MATCH(LARGE($N$50:$N$58,3),$N$50:$N$58,0)),"")</f>
        <v>Moderate Fit</v>
      </c>
      <c r="E64" s="45"/>
      <c r="F64" s="45"/>
      <c r="G64" s="45"/>
      <c r="H64" s="45"/>
      <c r="I64" s="45"/>
      <c r="J64" s="45"/>
      <c r="K64" s="45"/>
      <c r="L64" s="45"/>
      <c r="M64" s="45"/>
    </row>
    <row r="65" spans="1:13" ht="21.75" customHeight="1" x14ac:dyDescent="0.2">
      <c r="A65" s="45"/>
      <c r="B65" s="45"/>
      <c r="C65" s="45"/>
      <c r="D65" s="45"/>
      <c r="E65" s="45"/>
      <c r="F65" s="45"/>
      <c r="G65" s="45"/>
      <c r="H65" s="45"/>
      <c r="I65" s="45"/>
      <c r="J65" s="45"/>
      <c r="K65" s="45"/>
      <c r="L65" s="45"/>
      <c r="M65" s="45"/>
    </row>
    <row r="66" spans="1:13" ht="21.75" customHeight="1" x14ac:dyDescent="0.2">
      <c r="A66" s="199" t="s">
        <v>142</v>
      </c>
      <c r="B66" s="199"/>
      <c r="C66" s="199"/>
      <c r="D66" s="199"/>
      <c r="E66" s="199"/>
      <c r="F66" s="45"/>
      <c r="G66" s="45"/>
      <c r="H66" s="45"/>
      <c r="I66" s="45"/>
      <c r="J66" s="45"/>
      <c r="K66" s="45"/>
      <c r="L66" s="45"/>
      <c r="M66" s="45"/>
    </row>
    <row r="67" spans="1:13" ht="21.75" customHeight="1" x14ac:dyDescent="0.2">
      <c r="A67" s="45"/>
      <c r="B67" s="45"/>
      <c r="C67" s="45"/>
      <c r="D67" s="45"/>
      <c r="E67" s="45"/>
      <c r="F67" s="45"/>
      <c r="G67" s="45"/>
      <c r="H67" s="45"/>
      <c r="I67" s="45"/>
      <c r="J67" s="45"/>
      <c r="K67" s="45"/>
      <c r="L67" s="45"/>
      <c r="M67" s="45"/>
    </row>
    <row r="68" spans="1:13" ht="21.75" customHeight="1" x14ac:dyDescent="0.2">
      <c r="A68" s="45"/>
      <c r="B68" s="45"/>
      <c r="C68" s="45"/>
      <c r="D68" s="45"/>
      <c r="E68" s="45"/>
      <c r="F68" s="45"/>
      <c r="G68" s="45"/>
      <c r="H68" s="45"/>
      <c r="I68" s="45"/>
      <c r="J68" s="45"/>
      <c r="K68" s="45"/>
      <c r="L68" s="45"/>
      <c r="M68" s="45"/>
    </row>
    <row r="69" spans="1:13" ht="21.75" customHeight="1" x14ac:dyDescent="0.2">
      <c r="A69" s="45"/>
      <c r="B69" s="45"/>
      <c r="C69" s="45"/>
      <c r="D69" s="45"/>
      <c r="E69" s="45"/>
      <c r="F69" s="45"/>
      <c r="G69" s="45"/>
      <c r="H69" s="45"/>
      <c r="I69" s="45"/>
      <c r="J69" s="45"/>
      <c r="K69" s="45"/>
      <c r="L69" s="45"/>
      <c r="M69" s="45"/>
    </row>
    <row r="70" spans="1:13" ht="21.75" customHeight="1" x14ac:dyDescent="0.2">
      <c r="A70" s="45"/>
      <c r="B70" s="45"/>
      <c r="C70" s="45"/>
      <c r="D70" s="45"/>
      <c r="E70" s="45"/>
      <c r="F70" s="45"/>
      <c r="G70" s="45"/>
      <c r="H70" s="45"/>
      <c r="I70" s="45"/>
      <c r="J70" s="45"/>
      <c r="K70" s="45"/>
      <c r="L70" s="45"/>
      <c r="M70" s="45"/>
    </row>
  </sheetData>
  <sheetProtection sheet="1" formatColumns="0" formatRows="0"/>
  <mergeCells count="11">
    <mergeCell ref="A1:C1"/>
    <mergeCell ref="D1:E1"/>
    <mergeCell ref="A2:C2"/>
    <mergeCell ref="A3:C3"/>
    <mergeCell ref="A4:C4"/>
    <mergeCell ref="A66:E66"/>
    <mergeCell ref="A5:C5"/>
    <mergeCell ref="A6:C6"/>
    <mergeCell ref="A8:C8"/>
    <mergeCell ref="A48:E48"/>
    <mergeCell ref="A60:E60"/>
  </mergeCells>
  <conditionalFormatting sqref="A10:A45">
    <cfRule type="cellIs" dxfId="55" priority="17" operator="between">
      <formula>1</formula>
      <formula>4</formula>
    </cfRule>
  </conditionalFormatting>
  <conditionalFormatting sqref="B50:B58">
    <cfRule type="dataBar" priority="6">
      <dataBar>
        <cfvo type="num" val="0"/>
        <cfvo type="num" val="100"/>
        <color rgb="FF63C384"/>
      </dataBar>
      <extLst>
        <ext xmlns:x14="http://schemas.microsoft.com/office/spreadsheetml/2009/9/main" uri="{B025F937-C7B1-47D3-B67F-A62EFF666E3E}">
          <x14:id>{FC52A2B1-66B7-4885-BB76-2EB5E011E641}</x14:id>
        </ext>
      </extLst>
    </cfRule>
  </conditionalFormatting>
  <conditionalFormatting sqref="C8">
    <cfRule type="dataBar" priority="5">
      <dataBar>
        <cfvo type="num" val="0"/>
        <cfvo type="num" val="100"/>
        <color rgb="FF63C384"/>
      </dataBar>
      <extLst>
        <ext xmlns:x14="http://schemas.microsoft.com/office/spreadsheetml/2009/9/main" uri="{B025F937-C7B1-47D3-B67F-A62EFF666E3E}">
          <x14:id>{80B891F7-37C3-4FAE-BC3D-5E98A441555B}</x14:id>
        </ext>
      </extLst>
    </cfRule>
  </conditionalFormatting>
  <conditionalFormatting sqref="C50:C64">
    <cfRule type="containsText" dxfId="54" priority="7" operator="containsText" text="Very Strong Fit">
      <formula>NOT(ISERROR(SEARCH("Very Strong Fit",C50)))</formula>
    </cfRule>
    <cfRule type="containsText" dxfId="53" priority="8" operator="containsText" text="Strong Fit">
      <formula>NOT(ISERROR(SEARCH("Strong Fit",C50)))</formula>
    </cfRule>
    <cfRule type="containsText" dxfId="52" priority="9" operator="containsText" text="Moderate Fit">
      <formula>NOT(ISERROR(SEARCH("Moderate Fit",C50)))</formula>
    </cfRule>
    <cfRule type="containsText" dxfId="51" priority="10" operator="containsText" text="Emerging Fit">
      <formula>NOT(ISERROR(SEARCH("Emerging Fit",C50)))</formula>
    </cfRule>
    <cfRule type="containsText" dxfId="50" priority="11" operator="containsText" text="Low Fit">
      <formula>NOT(ISERROR(SEARCH("Low Fit",C50)))</formula>
    </cfRule>
  </conditionalFormatting>
  <conditionalFormatting sqref="D8">
    <cfRule type="expression" dxfId="49" priority="2">
      <formula>C8&lt;55</formula>
    </cfRule>
    <cfRule type="expression" dxfId="48" priority="3">
      <formula>AND(C8&gt;=55,C8&lt;70)</formula>
    </cfRule>
    <cfRule type="expression" dxfId="47" priority="4">
      <formula>C8&gt;=70</formula>
    </cfRule>
  </conditionalFormatting>
  <conditionalFormatting sqref="D62:D64">
    <cfRule type="containsText" dxfId="46" priority="12" operator="containsText" text="Very Strong Fit">
      <formula>NOT(ISERROR(SEARCH("Very Strong Fit",D62)))</formula>
    </cfRule>
    <cfRule type="containsText" dxfId="45" priority="13" operator="containsText" text="Strong Fit">
      <formula>NOT(ISERROR(SEARCH("Strong Fit",D62)))</formula>
    </cfRule>
    <cfRule type="containsText" dxfId="44" priority="14" operator="containsText" text="Moderate Fit">
      <formula>NOT(ISERROR(SEARCH("Moderate Fit",D62)))</formula>
    </cfRule>
    <cfRule type="containsText" dxfId="43" priority="15" operator="containsText" text="Emerging Fit">
      <formula>NOT(ISERROR(SEARCH("Emerging Fit",D62)))</formula>
    </cfRule>
    <cfRule type="containsText" dxfId="42" priority="16" operator="containsText" text="Low Fit">
      <formula>NOT(ISERROR(SEARCH("Low Fit",D62)))</formula>
    </cfRule>
  </conditionalFormatting>
  <dataValidations count="1">
    <dataValidation type="list" allowBlank="1" showInputMessage="1" showErrorMessage="1" errorTitle="Invalid entry" error="Please select 1, 2, 3, or 4 from the dropdown." promptTitle="Rating (1–4)" prompt="1 = Not like me_x000a_2 = A little like me_x000a_3 = Mostly like me_x000a_4 = Very like me" sqref="A10:A45" xr:uid="{00000000-0002-0000-0100-000000000000}">
      <formula1>"1,2,3,4"</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FC52A2B1-66B7-4885-BB76-2EB5E011E641}">
            <x14:dataBar axisPosition="none">
              <x14:cfvo type="num">
                <xm:f>0</xm:f>
              </x14:cfvo>
              <x14:cfvo type="num">
                <xm:f>100</xm:f>
              </x14:cfvo>
              <x14:negativeFillColor rgb="FF63C384"/>
            </x14:dataBar>
          </x14:cfRule>
          <xm:sqref>B50:B58</xm:sqref>
        </x14:conditionalFormatting>
        <x14:conditionalFormatting xmlns:xm="http://schemas.microsoft.com/office/excel/2006/main">
          <x14:cfRule type="dataBar" id="{80B891F7-37C3-4FAE-BC3D-5E98A441555B}">
            <x14:dataBar axisPosition="none">
              <x14:cfvo type="num">
                <xm:f>0</xm:f>
              </x14:cfvo>
              <x14:cfvo type="num">
                <xm:f>100</xm:f>
              </x14:cfvo>
              <x14:negativeFillColor rgb="FF63C384"/>
            </x14:dataBar>
          </x14:cfRule>
          <xm:sqref>C8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0"/>
  <sheetViews>
    <sheetView showGridLines="0" zoomScaleNormal="100" workbookViewId="0">
      <pane ySplit="9" topLeftCell="A10" activePane="bottomLeft" state="frozen"/>
      <selection pane="bottomLeft" activeCell="A30" sqref="A30"/>
    </sheetView>
  </sheetViews>
  <sheetFormatPr baseColWidth="10" defaultColWidth="8.83203125" defaultRowHeight="15" x14ac:dyDescent="0.2"/>
  <cols>
    <col min="1" max="1" width="10" style="7" customWidth="1"/>
    <col min="2" max="2" width="55" style="7" customWidth="1"/>
    <col min="3" max="3" width="8" style="7" customWidth="1"/>
    <col min="4" max="4" width="26" style="7" customWidth="1"/>
    <col min="5" max="13" width="18" style="7" customWidth="1"/>
    <col min="14" max="17" width="13" style="7" customWidth="1"/>
  </cols>
  <sheetData>
    <row r="1" spans="1:13" ht="39.75" customHeight="1" x14ac:dyDescent="0.2">
      <c r="A1" s="205" t="s">
        <v>143</v>
      </c>
      <c r="B1" s="205"/>
      <c r="C1" s="205"/>
      <c r="D1" s="205" t="s">
        <v>25</v>
      </c>
      <c r="E1" s="205"/>
    </row>
    <row r="2" spans="1:13" ht="19.5" customHeight="1" x14ac:dyDescent="0.2">
      <c r="A2" s="204" t="s">
        <v>144</v>
      </c>
      <c r="B2" s="204"/>
      <c r="C2" s="204"/>
      <c r="D2" s="8" t="s">
        <v>27</v>
      </c>
      <c r="E2" s="9">
        <f>COUNT(A10:A45)</f>
        <v>36</v>
      </c>
    </row>
    <row r="3" spans="1:13" ht="19.5" customHeight="1" x14ac:dyDescent="0.2">
      <c r="A3" s="204" t="s">
        <v>145</v>
      </c>
      <c r="B3" s="204"/>
      <c r="C3" s="204"/>
      <c r="D3" s="8" t="s">
        <v>29</v>
      </c>
      <c r="E3" s="9">
        <v>36</v>
      </c>
    </row>
    <row r="4" spans="1:13" ht="19.5" customHeight="1" x14ac:dyDescent="0.2">
      <c r="A4" s="204" t="s">
        <v>146</v>
      </c>
      <c r="B4" s="204"/>
      <c r="C4" s="204"/>
      <c r="D4" s="8" t="s">
        <v>31</v>
      </c>
      <c r="E4" s="9" t="str">
        <f>ROUND(E2/E3*100,0)&amp;"%"</f>
        <v>100%</v>
      </c>
    </row>
    <row r="5" spans="1:13" ht="19.5" customHeight="1" x14ac:dyDescent="0.2">
      <c r="A5" s="204" t="s">
        <v>147</v>
      </c>
      <c r="B5" s="204"/>
      <c r="C5" s="204"/>
    </row>
    <row r="6" spans="1:13" ht="19.5" customHeight="1" x14ac:dyDescent="0.2">
      <c r="A6" s="204" t="s">
        <v>33</v>
      </c>
      <c r="B6" s="204"/>
      <c r="C6" s="204"/>
    </row>
    <row r="7" spans="1:13" ht="19.5" customHeight="1" x14ac:dyDescent="0.2">
      <c r="A7" s="10"/>
      <c r="B7" s="10"/>
      <c r="C7" s="10"/>
    </row>
    <row r="8" spans="1:13" s="7" customFormat="1" ht="60" customHeight="1" x14ac:dyDescent="0.2">
      <c r="A8" s="201" t="s">
        <v>34</v>
      </c>
      <c r="B8" s="201"/>
      <c r="C8" s="201"/>
      <c r="E8" s="11" t="s">
        <v>35</v>
      </c>
      <c r="F8" s="12" t="s">
        <v>36</v>
      </c>
      <c r="G8" s="13" t="s">
        <v>37</v>
      </c>
      <c r="H8" s="14" t="s">
        <v>38</v>
      </c>
      <c r="I8" s="15" t="s">
        <v>39</v>
      </c>
      <c r="J8" s="16" t="s">
        <v>40</v>
      </c>
      <c r="K8" s="17" t="s">
        <v>41</v>
      </c>
      <c r="L8" s="18" t="s">
        <v>42</v>
      </c>
      <c r="M8" s="13" t="s">
        <v>43</v>
      </c>
    </row>
    <row r="9" spans="1:13" s="7" customFormat="1" ht="25.5" customHeight="1" x14ac:dyDescent="0.2">
      <c r="A9" s="19" t="s">
        <v>44</v>
      </c>
      <c r="B9" s="19" t="s">
        <v>45</v>
      </c>
      <c r="C9" s="19" t="s">
        <v>46</v>
      </c>
      <c r="D9" s="19" t="s">
        <v>47</v>
      </c>
      <c r="E9" s="19" t="s">
        <v>48</v>
      </c>
      <c r="F9" s="19" t="s">
        <v>49</v>
      </c>
      <c r="G9" s="19" t="s">
        <v>50</v>
      </c>
      <c r="H9" s="19" t="s">
        <v>51</v>
      </c>
      <c r="I9" s="19" t="s">
        <v>52</v>
      </c>
      <c r="J9" s="51" t="s">
        <v>53</v>
      </c>
      <c r="K9" s="51" t="s">
        <v>54</v>
      </c>
      <c r="L9" s="51" t="s">
        <v>55</v>
      </c>
      <c r="M9" s="51" t="s">
        <v>56</v>
      </c>
    </row>
    <row r="10" spans="1:13" s="7" customFormat="1" ht="36" customHeight="1" x14ac:dyDescent="0.2">
      <c r="A10" s="21">
        <v>3</v>
      </c>
      <c r="B10" s="22" t="s">
        <v>148</v>
      </c>
      <c r="C10" s="23" t="s">
        <v>149</v>
      </c>
      <c r="D10" s="24" t="s">
        <v>59</v>
      </c>
      <c r="E10" s="7">
        <v>1</v>
      </c>
      <c r="F10" s="7">
        <v>0</v>
      </c>
      <c r="G10" s="7">
        <v>0</v>
      </c>
      <c r="H10" s="7">
        <v>0</v>
      </c>
      <c r="I10" s="7">
        <v>0</v>
      </c>
      <c r="J10" s="7">
        <v>0</v>
      </c>
      <c r="K10" s="7">
        <v>0</v>
      </c>
      <c r="L10" s="7">
        <v>0</v>
      </c>
      <c r="M10" s="7">
        <v>0</v>
      </c>
    </row>
    <row r="11" spans="1:13" s="7" customFormat="1" ht="36" customHeight="1" x14ac:dyDescent="0.2">
      <c r="A11" s="21">
        <v>3</v>
      </c>
      <c r="B11" s="25" t="s">
        <v>150</v>
      </c>
      <c r="C11" s="23" t="s">
        <v>151</v>
      </c>
      <c r="D11" s="26" t="s">
        <v>59</v>
      </c>
      <c r="E11" s="7">
        <v>1</v>
      </c>
      <c r="F11" s="7">
        <v>0</v>
      </c>
      <c r="G11" s="7">
        <v>0</v>
      </c>
      <c r="H11" s="7">
        <v>0</v>
      </c>
      <c r="I11" s="7">
        <v>0</v>
      </c>
      <c r="J11" s="7">
        <v>0</v>
      </c>
      <c r="K11" s="7">
        <v>0</v>
      </c>
      <c r="L11" s="7">
        <v>0</v>
      </c>
      <c r="M11" s="7">
        <v>0</v>
      </c>
    </row>
    <row r="12" spans="1:13" s="7" customFormat="1" ht="36" customHeight="1" x14ac:dyDescent="0.2">
      <c r="A12" s="21">
        <v>3</v>
      </c>
      <c r="B12" s="22" t="s">
        <v>152</v>
      </c>
      <c r="C12" s="23" t="s">
        <v>153</v>
      </c>
      <c r="D12" s="24" t="s">
        <v>59</v>
      </c>
      <c r="E12" s="7">
        <v>1</v>
      </c>
      <c r="F12" s="7">
        <v>0</v>
      </c>
      <c r="G12" s="7">
        <v>0</v>
      </c>
      <c r="H12" s="7">
        <v>0</v>
      </c>
      <c r="I12" s="7">
        <v>0</v>
      </c>
      <c r="J12" s="7">
        <v>0</v>
      </c>
      <c r="K12" s="7">
        <v>0</v>
      </c>
      <c r="L12" s="7">
        <v>0</v>
      </c>
      <c r="M12" s="7">
        <v>0</v>
      </c>
    </row>
    <row r="13" spans="1:13" s="7" customFormat="1" ht="36" customHeight="1" x14ac:dyDescent="0.2">
      <c r="A13" s="21">
        <v>2</v>
      </c>
      <c r="B13" s="25" t="s">
        <v>154</v>
      </c>
      <c r="C13" s="23" t="s">
        <v>155</v>
      </c>
      <c r="D13" s="26" t="s">
        <v>59</v>
      </c>
      <c r="E13" s="7">
        <v>1</v>
      </c>
      <c r="F13" s="7">
        <v>0</v>
      </c>
      <c r="G13" s="7">
        <v>0</v>
      </c>
      <c r="H13" s="7">
        <v>0</v>
      </c>
      <c r="I13" s="7">
        <v>0.25</v>
      </c>
      <c r="J13" s="7">
        <v>0</v>
      </c>
      <c r="K13" s="7">
        <v>0</v>
      </c>
      <c r="L13" s="7">
        <v>0</v>
      </c>
      <c r="M13" s="7">
        <v>0</v>
      </c>
    </row>
    <row r="14" spans="1:13" s="7" customFormat="1" ht="36" customHeight="1" x14ac:dyDescent="0.2">
      <c r="A14" s="21">
        <v>2</v>
      </c>
      <c r="B14" s="22" t="s">
        <v>156</v>
      </c>
      <c r="C14" s="23" t="s">
        <v>157</v>
      </c>
      <c r="D14" s="24" t="s">
        <v>68</v>
      </c>
      <c r="E14" s="7">
        <v>0</v>
      </c>
      <c r="F14" s="7">
        <v>1</v>
      </c>
      <c r="G14" s="7">
        <v>0</v>
      </c>
      <c r="H14" s="7">
        <v>0</v>
      </c>
      <c r="I14" s="7">
        <v>0</v>
      </c>
      <c r="J14" s="7">
        <v>0</v>
      </c>
      <c r="K14" s="7">
        <v>0</v>
      </c>
      <c r="L14" s="7">
        <v>0</v>
      </c>
      <c r="M14" s="7">
        <v>0</v>
      </c>
    </row>
    <row r="15" spans="1:13" s="7" customFormat="1" ht="36" customHeight="1" x14ac:dyDescent="0.2">
      <c r="A15" s="21">
        <v>1</v>
      </c>
      <c r="B15" s="25" t="s">
        <v>158</v>
      </c>
      <c r="C15" s="23" t="s">
        <v>159</v>
      </c>
      <c r="D15" s="26" t="s">
        <v>68</v>
      </c>
      <c r="E15" s="7">
        <v>0</v>
      </c>
      <c r="F15" s="7">
        <v>1</v>
      </c>
      <c r="G15" s="7">
        <v>0</v>
      </c>
      <c r="H15" s="7">
        <v>0</v>
      </c>
      <c r="I15" s="7">
        <v>0</v>
      </c>
      <c r="J15" s="7">
        <v>0</v>
      </c>
      <c r="K15" s="7">
        <v>0</v>
      </c>
      <c r="L15" s="7">
        <v>0</v>
      </c>
      <c r="M15" s="7">
        <v>0</v>
      </c>
    </row>
    <row r="16" spans="1:13" s="7" customFormat="1" ht="36" customHeight="1" x14ac:dyDescent="0.2">
      <c r="A16" s="21">
        <v>1</v>
      </c>
      <c r="B16" s="22" t="s">
        <v>160</v>
      </c>
      <c r="C16" s="23" t="s">
        <v>161</v>
      </c>
      <c r="D16" s="24" t="s">
        <v>68</v>
      </c>
      <c r="E16" s="7">
        <v>0</v>
      </c>
      <c r="F16" s="7">
        <v>1</v>
      </c>
      <c r="G16" s="7">
        <v>0</v>
      </c>
      <c r="H16" s="7">
        <v>0</v>
      </c>
      <c r="I16" s="7">
        <v>0</v>
      </c>
      <c r="J16" s="7">
        <v>0</v>
      </c>
      <c r="K16" s="7">
        <v>0.25</v>
      </c>
      <c r="L16" s="7">
        <v>0</v>
      </c>
      <c r="M16" s="7">
        <v>0</v>
      </c>
    </row>
    <row r="17" spans="1:13" s="7" customFormat="1" ht="36" customHeight="1" x14ac:dyDescent="0.2">
      <c r="A17" s="21">
        <v>1</v>
      </c>
      <c r="B17" s="25" t="s">
        <v>162</v>
      </c>
      <c r="C17" s="23" t="s">
        <v>163</v>
      </c>
      <c r="D17" s="26" t="s">
        <v>68</v>
      </c>
      <c r="E17" s="7">
        <v>0</v>
      </c>
      <c r="F17" s="7">
        <v>1</v>
      </c>
      <c r="G17" s="7">
        <v>0</v>
      </c>
      <c r="H17" s="7">
        <v>0</v>
      </c>
      <c r="I17" s="7">
        <v>0</v>
      </c>
      <c r="J17" s="7">
        <v>0</v>
      </c>
      <c r="K17" s="7">
        <v>0</v>
      </c>
      <c r="L17" s="7">
        <v>0</v>
      </c>
      <c r="M17" s="7">
        <v>0</v>
      </c>
    </row>
    <row r="18" spans="1:13" s="7" customFormat="1" ht="36" customHeight="1" x14ac:dyDescent="0.2">
      <c r="A18" s="21">
        <v>3</v>
      </c>
      <c r="B18" s="22" t="s">
        <v>164</v>
      </c>
      <c r="C18" s="23" t="s">
        <v>165</v>
      </c>
      <c r="D18" s="24" t="s">
        <v>77</v>
      </c>
      <c r="E18" s="7">
        <v>0</v>
      </c>
      <c r="F18" s="7">
        <v>0</v>
      </c>
      <c r="G18" s="7">
        <v>1</v>
      </c>
      <c r="H18" s="7">
        <v>0</v>
      </c>
      <c r="I18" s="7">
        <v>0</v>
      </c>
      <c r="J18" s="7">
        <v>0</v>
      </c>
      <c r="K18" s="7">
        <v>0</v>
      </c>
      <c r="L18" s="7">
        <v>0</v>
      </c>
      <c r="M18" s="7">
        <v>0</v>
      </c>
    </row>
    <row r="19" spans="1:13" s="7" customFormat="1" ht="36" customHeight="1" x14ac:dyDescent="0.2">
      <c r="A19" s="21">
        <v>3</v>
      </c>
      <c r="B19" s="25" t="s">
        <v>166</v>
      </c>
      <c r="C19" s="23" t="s">
        <v>167</v>
      </c>
      <c r="D19" s="26" t="s">
        <v>77</v>
      </c>
      <c r="E19" s="7">
        <v>0</v>
      </c>
      <c r="F19" s="7">
        <v>0</v>
      </c>
      <c r="G19" s="7">
        <v>1</v>
      </c>
      <c r="H19" s="7">
        <v>0</v>
      </c>
      <c r="I19" s="7">
        <v>0</v>
      </c>
      <c r="J19" s="7">
        <v>0</v>
      </c>
      <c r="K19" s="7">
        <v>0</v>
      </c>
      <c r="L19" s="7">
        <v>0</v>
      </c>
      <c r="M19" s="7">
        <v>0</v>
      </c>
    </row>
    <row r="20" spans="1:13" s="7" customFormat="1" ht="36" customHeight="1" x14ac:dyDescent="0.2">
      <c r="A20" s="21">
        <v>4</v>
      </c>
      <c r="B20" s="22" t="s">
        <v>168</v>
      </c>
      <c r="C20" s="23" t="s">
        <v>169</v>
      </c>
      <c r="D20" s="24" t="s">
        <v>77</v>
      </c>
      <c r="E20" s="7">
        <v>0</v>
      </c>
      <c r="F20" s="7">
        <v>0</v>
      </c>
      <c r="G20" s="7">
        <v>1</v>
      </c>
      <c r="H20" s="7">
        <v>0</v>
      </c>
      <c r="I20" s="7">
        <v>0</v>
      </c>
      <c r="J20" s="7">
        <v>0</v>
      </c>
      <c r="K20" s="7">
        <v>0</v>
      </c>
      <c r="L20" s="7">
        <v>0</v>
      </c>
      <c r="M20" s="7">
        <v>0</v>
      </c>
    </row>
    <row r="21" spans="1:13" s="7" customFormat="1" ht="36" customHeight="1" x14ac:dyDescent="0.2">
      <c r="A21" s="21">
        <v>3</v>
      </c>
      <c r="B21" s="25" t="s">
        <v>170</v>
      </c>
      <c r="C21" s="23" t="s">
        <v>171</v>
      </c>
      <c r="D21" s="26" t="s">
        <v>77</v>
      </c>
      <c r="E21" s="7">
        <v>0</v>
      </c>
      <c r="F21" s="7">
        <v>0</v>
      </c>
      <c r="G21" s="7">
        <v>1</v>
      </c>
      <c r="H21" s="7">
        <v>0</v>
      </c>
      <c r="I21" s="7">
        <v>0</v>
      </c>
      <c r="J21" s="7">
        <v>0</v>
      </c>
      <c r="K21" s="7">
        <v>0</v>
      </c>
      <c r="L21" s="7">
        <v>0</v>
      </c>
      <c r="M21" s="7">
        <v>0</v>
      </c>
    </row>
    <row r="22" spans="1:13" s="7" customFormat="1" ht="36" customHeight="1" x14ac:dyDescent="0.2">
      <c r="A22" s="21">
        <v>2</v>
      </c>
      <c r="B22" s="22" t="s">
        <v>172</v>
      </c>
      <c r="C22" s="23" t="s">
        <v>173</v>
      </c>
      <c r="D22" s="24" t="s">
        <v>38</v>
      </c>
      <c r="E22" s="7">
        <v>0</v>
      </c>
      <c r="F22" s="7">
        <v>0</v>
      </c>
      <c r="G22" s="7">
        <v>0</v>
      </c>
      <c r="H22" s="7">
        <v>1</v>
      </c>
      <c r="I22" s="7">
        <v>0</v>
      </c>
      <c r="J22" s="7">
        <v>0</v>
      </c>
      <c r="K22" s="7">
        <v>0</v>
      </c>
      <c r="L22" s="7">
        <v>0</v>
      </c>
      <c r="M22" s="7">
        <v>0</v>
      </c>
    </row>
    <row r="23" spans="1:13" s="7" customFormat="1" ht="36" customHeight="1" x14ac:dyDescent="0.2">
      <c r="A23" s="21">
        <v>1</v>
      </c>
      <c r="B23" s="25" t="s">
        <v>174</v>
      </c>
      <c r="C23" s="23" t="s">
        <v>175</v>
      </c>
      <c r="D23" s="26" t="s">
        <v>38</v>
      </c>
      <c r="E23" s="7">
        <v>0</v>
      </c>
      <c r="F23" s="7">
        <v>0</v>
      </c>
      <c r="G23" s="7">
        <v>0</v>
      </c>
      <c r="H23" s="7">
        <v>1</v>
      </c>
      <c r="I23" s="7">
        <v>0</v>
      </c>
      <c r="J23" s="7">
        <v>0</v>
      </c>
      <c r="K23" s="7">
        <v>0</v>
      </c>
      <c r="L23" s="7">
        <v>0</v>
      </c>
      <c r="M23" s="7">
        <v>0</v>
      </c>
    </row>
    <row r="24" spans="1:13" s="7" customFormat="1" ht="36" customHeight="1" x14ac:dyDescent="0.2">
      <c r="A24" s="21">
        <v>2</v>
      </c>
      <c r="B24" s="22" t="s">
        <v>176</v>
      </c>
      <c r="C24" s="23" t="s">
        <v>177</v>
      </c>
      <c r="D24" s="24" t="s">
        <v>38</v>
      </c>
      <c r="E24" s="7">
        <v>0</v>
      </c>
      <c r="F24" s="7">
        <v>0</v>
      </c>
      <c r="G24" s="7">
        <v>0</v>
      </c>
      <c r="H24" s="7">
        <v>1</v>
      </c>
      <c r="I24" s="7">
        <v>0.15</v>
      </c>
      <c r="J24" s="7">
        <v>0</v>
      </c>
      <c r="K24" s="7">
        <v>0</v>
      </c>
      <c r="L24" s="7">
        <v>0</v>
      </c>
      <c r="M24" s="7">
        <v>0</v>
      </c>
    </row>
    <row r="25" spans="1:13" s="7" customFormat="1" ht="36" customHeight="1" x14ac:dyDescent="0.2">
      <c r="A25" s="21">
        <v>2</v>
      </c>
      <c r="B25" s="25" t="s">
        <v>178</v>
      </c>
      <c r="C25" s="23" t="s">
        <v>179</v>
      </c>
      <c r="D25" s="26" t="s">
        <v>38</v>
      </c>
      <c r="E25" s="7">
        <v>0</v>
      </c>
      <c r="F25" s="7">
        <v>0.15</v>
      </c>
      <c r="G25" s="7">
        <v>0</v>
      </c>
      <c r="H25" s="7">
        <v>1</v>
      </c>
      <c r="I25" s="7">
        <v>0</v>
      </c>
      <c r="J25" s="7">
        <v>0</v>
      </c>
      <c r="K25" s="7">
        <v>0</v>
      </c>
      <c r="L25" s="7">
        <v>0</v>
      </c>
      <c r="M25" s="7">
        <v>0</v>
      </c>
    </row>
    <row r="26" spans="1:13" s="7" customFormat="1" ht="36" customHeight="1" x14ac:dyDescent="0.2">
      <c r="A26" s="21">
        <v>3</v>
      </c>
      <c r="B26" s="22" t="s">
        <v>180</v>
      </c>
      <c r="C26" s="23" t="s">
        <v>181</v>
      </c>
      <c r="D26" s="24" t="s">
        <v>94</v>
      </c>
      <c r="E26" s="7">
        <v>0</v>
      </c>
      <c r="F26" s="7">
        <v>0</v>
      </c>
      <c r="G26" s="7">
        <v>0</v>
      </c>
      <c r="H26" s="7">
        <v>0</v>
      </c>
      <c r="I26" s="7">
        <v>1</v>
      </c>
      <c r="J26" s="7">
        <v>0</v>
      </c>
      <c r="K26" s="7">
        <v>0</v>
      </c>
      <c r="L26" s="7">
        <v>0</v>
      </c>
      <c r="M26" s="7">
        <v>0</v>
      </c>
    </row>
    <row r="27" spans="1:13" s="7" customFormat="1" ht="36" customHeight="1" x14ac:dyDescent="0.2">
      <c r="A27" s="21">
        <v>2</v>
      </c>
      <c r="B27" s="25" t="s">
        <v>182</v>
      </c>
      <c r="C27" s="23" t="s">
        <v>183</v>
      </c>
      <c r="D27" s="26" t="s">
        <v>94</v>
      </c>
      <c r="E27" s="7">
        <v>0</v>
      </c>
      <c r="F27" s="7">
        <v>0</v>
      </c>
      <c r="G27" s="7">
        <v>0</v>
      </c>
      <c r="H27" s="7">
        <v>0</v>
      </c>
      <c r="I27" s="7">
        <v>1</v>
      </c>
      <c r="J27" s="7">
        <v>0.15</v>
      </c>
      <c r="K27" s="7">
        <v>0</v>
      </c>
      <c r="L27" s="7">
        <v>0</v>
      </c>
      <c r="M27" s="7">
        <v>0</v>
      </c>
    </row>
    <row r="28" spans="1:13" s="7" customFormat="1" ht="36" customHeight="1" x14ac:dyDescent="0.2">
      <c r="A28" s="21">
        <v>3</v>
      </c>
      <c r="B28" s="22" t="s">
        <v>184</v>
      </c>
      <c r="C28" s="23" t="s">
        <v>185</v>
      </c>
      <c r="D28" s="24" t="s">
        <v>94</v>
      </c>
      <c r="E28" s="7">
        <v>0</v>
      </c>
      <c r="F28" s="7">
        <v>0</v>
      </c>
      <c r="G28" s="7">
        <v>0</v>
      </c>
      <c r="H28" s="7">
        <v>0</v>
      </c>
      <c r="I28" s="7">
        <v>1</v>
      </c>
      <c r="J28" s="7">
        <v>0</v>
      </c>
      <c r="K28" s="7">
        <v>0</v>
      </c>
      <c r="L28" s="7">
        <v>0</v>
      </c>
      <c r="M28" s="7">
        <v>0</v>
      </c>
    </row>
    <row r="29" spans="1:13" s="7" customFormat="1" ht="36" customHeight="1" x14ac:dyDescent="0.2">
      <c r="A29" s="21">
        <v>2</v>
      </c>
      <c r="B29" s="25" t="s">
        <v>186</v>
      </c>
      <c r="C29" s="23" t="s">
        <v>187</v>
      </c>
      <c r="D29" s="26" t="s">
        <v>94</v>
      </c>
      <c r="E29" s="7">
        <v>0</v>
      </c>
      <c r="F29" s="7">
        <v>0</v>
      </c>
      <c r="G29" s="7">
        <v>0</v>
      </c>
      <c r="H29" s="7">
        <v>0</v>
      </c>
      <c r="I29" s="7">
        <v>1</v>
      </c>
      <c r="J29" s="7">
        <v>0.25</v>
      </c>
      <c r="K29" s="7">
        <v>0</v>
      </c>
      <c r="L29" s="7">
        <v>0</v>
      </c>
      <c r="M29" s="7">
        <v>0</v>
      </c>
    </row>
    <row r="30" spans="1:13" s="7" customFormat="1" ht="36" customHeight="1" x14ac:dyDescent="0.2">
      <c r="A30" s="21">
        <v>2</v>
      </c>
      <c r="B30" s="22" t="s">
        <v>188</v>
      </c>
      <c r="C30" s="23" t="s">
        <v>189</v>
      </c>
      <c r="D30" s="24" t="s">
        <v>40</v>
      </c>
      <c r="E30" s="7">
        <v>0</v>
      </c>
      <c r="F30" s="7">
        <v>0</v>
      </c>
      <c r="G30" s="7">
        <v>0.15</v>
      </c>
      <c r="H30" s="7">
        <v>0</v>
      </c>
      <c r="I30" s="7">
        <v>0</v>
      </c>
      <c r="J30" s="7">
        <v>1</v>
      </c>
      <c r="K30" s="7">
        <v>0</v>
      </c>
      <c r="L30" s="7">
        <v>0</v>
      </c>
      <c r="M30" s="7">
        <v>0</v>
      </c>
    </row>
    <row r="31" spans="1:13" s="7" customFormat="1" ht="36" customHeight="1" x14ac:dyDescent="0.2">
      <c r="A31" s="21">
        <v>3</v>
      </c>
      <c r="B31" s="25" t="s">
        <v>190</v>
      </c>
      <c r="C31" s="23" t="s">
        <v>191</v>
      </c>
      <c r="D31" s="26" t="s">
        <v>40</v>
      </c>
      <c r="E31" s="7">
        <v>0</v>
      </c>
      <c r="F31" s="7">
        <v>0</v>
      </c>
      <c r="G31" s="7">
        <v>0</v>
      </c>
      <c r="H31" s="7">
        <v>0</v>
      </c>
      <c r="I31" s="7">
        <v>0.25</v>
      </c>
      <c r="J31" s="7">
        <v>1</v>
      </c>
      <c r="K31" s="7">
        <v>0</v>
      </c>
      <c r="L31" s="7">
        <v>0</v>
      </c>
      <c r="M31" s="7">
        <v>0</v>
      </c>
    </row>
    <row r="32" spans="1:13" s="7" customFormat="1" ht="36" customHeight="1" x14ac:dyDescent="0.2">
      <c r="A32" s="21">
        <v>4</v>
      </c>
      <c r="B32" s="22" t="s">
        <v>192</v>
      </c>
      <c r="C32" s="23" t="s">
        <v>193</v>
      </c>
      <c r="D32" s="24" t="s">
        <v>40</v>
      </c>
      <c r="E32" s="7">
        <v>0</v>
      </c>
      <c r="F32" s="7">
        <v>0</v>
      </c>
      <c r="G32" s="7">
        <v>0</v>
      </c>
      <c r="H32" s="7">
        <v>0</v>
      </c>
      <c r="I32" s="7">
        <v>0</v>
      </c>
      <c r="J32" s="7">
        <v>1</v>
      </c>
      <c r="K32" s="7">
        <v>0</v>
      </c>
      <c r="L32" s="7">
        <v>0</v>
      </c>
      <c r="M32" s="7">
        <v>0</v>
      </c>
    </row>
    <row r="33" spans="1:13" s="7" customFormat="1" ht="36" customHeight="1" x14ac:dyDescent="0.2">
      <c r="A33" s="21">
        <v>4</v>
      </c>
      <c r="B33" s="25" t="s">
        <v>194</v>
      </c>
      <c r="C33" s="23" t="s">
        <v>195</v>
      </c>
      <c r="D33" s="26" t="s">
        <v>40</v>
      </c>
      <c r="E33" s="7">
        <v>0</v>
      </c>
      <c r="F33" s="7">
        <v>0</v>
      </c>
      <c r="G33" s="7">
        <v>0</v>
      </c>
      <c r="H33" s="7">
        <v>0</v>
      </c>
      <c r="I33" s="7">
        <v>0</v>
      </c>
      <c r="J33" s="7">
        <v>1</v>
      </c>
      <c r="K33" s="7">
        <v>0</v>
      </c>
      <c r="L33" s="7">
        <v>0</v>
      </c>
      <c r="M33" s="7">
        <v>0</v>
      </c>
    </row>
    <row r="34" spans="1:13" s="7" customFormat="1" ht="36" customHeight="1" x14ac:dyDescent="0.2">
      <c r="A34" s="21">
        <v>3</v>
      </c>
      <c r="B34" s="22" t="s">
        <v>196</v>
      </c>
      <c r="C34" s="23" t="s">
        <v>197</v>
      </c>
      <c r="D34" s="24" t="s">
        <v>41</v>
      </c>
      <c r="E34" s="7">
        <v>0</v>
      </c>
      <c r="F34" s="7">
        <v>0</v>
      </c>
      <c r="G34" s="7">
        <v>0</v>
      </c>
      <c r="H34" s="7">
        <v>0</v>
      </c>
      <c r="I34" s="7">
        <v>0</v>
      </c>
      <c r="J34" s="7">
        <v>0</v>
      </c>
      <c r="K34" s="7">
        <v>1</v>
      </c>
      <c r="L34" s="7">
        <v>0</v>
      </c>
      <c r="M34" s="7">
        <v>0</v>
      </c>
    </row>
    <row r="35" spans="1:13" s="7" customFormat="1" ht="36" customHeight="1" x14ac:dyDescent="0.2">
      <c r="A35" s="21">
        <v>3</v>
      </c>
      <c r="B35" s="25" t="s">
        <v>198</v>
      </c>
      <c r="C35" s="23" t="s">
        <v>199</v>
      </c>
      <c r="D35" s="26" t="s">
        <v>41</v>
      </c>
      <c r="E35" s="7">
        <v>0</v>
      </c>
      <c r="F35" s="7">
        <v>0</v>
      </c>
      <c r="G35" s="7">
        <v>0</v>
      </c>
      <c r="H35" s="7">
        <v>0</v>
      </c>
      <c r="I35" s="7">
        <v>0</v>
      </c>
      <c r="J35" s="7">
        <v>0</v>
      </c>
      <c r="K35" s="7">
        <v>1</v>
      </c>
      <c r="L35" s="7">
        <v>0</v>
      </c>
      <c r="M35" s="7">
        <v>0</v>
      </c>
    </row>
    <row r="36" spans="1:13" s="7" customFormat="1" ht="36" customHeight="1" x14ac:dyDescent="0.2">
      <c r="A36" s="21">
        <v>3</v>
      </c>
      <c r="B36" s="22" t="s">
        <v>200</v>
      </c>
      <c r="C36" s="23" t="s">
        <v>201</v>
      </c>
      <c r="D36" s="24" t="s">
        <v>41</v>
      </c>
      <c r="E36" s="7">
        <v>0</v>
      </c>
      <c r="F36" s="7">
        <v>0</v>
      </c>
      <c r="G36" s="7">
        <v>0</v>
      </c>
      <c r="H36" s="7">
        <v>0</v>
      </c>
      <c r="I36" s="7">
        <v>0</v>
      </c>
      <c r="J36" s="7">
        <v>0</v>
      </c>
      <c r="K36" s="7">
        <v>1</v>
      </c>
      <c r="L36" s="7">
        <v>0</v>
      </c>
      <c r="M36" s="7">
        <v>0</v>
      </c>
    </row>
    <row r="37" spans="1:13" s="7" customFormat="1" ht="36" customHeight="1" x14ac:dyDescent="0.2">
      <c r="A37" s="21">
        <v>2</v>
      </c>
      <c r="B37" s="25" t="s">
        <v>202</v>
      </c>
      <c r="C37" s="23" t="s">
        <v>203</v>
      </c>
      <c r="D37" s="26" t="s">
        <v>41</v>
      </c>
      <c r="E37" s="7">
        <v>0</v>
      </c>
      <c r="F37" s="7">
        <v>0</v>
      </c>
      <c r="G37" s="7">
        <v>0</v>
      </c>
      <c r="H37" s="7">
        <v>0</v>
      </c>
      <c r="I37" s="7">
        <v>0</v>
      </c>
      <c r="J37" s="7">
        <v>0</v>
      </c>
      <c r="K37" s="7">
        <v>1</v>
      </c>
      <c r="L37" s="7">
        <v>0.15</v>
      </c>
      <c r="M37" s="7">
        <v>0</v>
      </c>
    </row>
    <row r="38" spans="1:13" s="7" customFormat="1" ht="36" customHeight="1" x14ac:dyDescent="0.2">
      <c r="A38" s="21">
        <v>2</v>
      </c>
      <c r="B38" s="22" t="s">
        <v>204</v>
      </c>
      <c r="C38" s="23" t="s">
        <v>205</v>
      </c>
      <c r="D38" s="24" t="s">
        <v>119</v>
      </c>
      <c r="E38" s="7">
        <v>0</v>
      </c>
      <c r="F38" s="7">
        <v>0</v>
      </c>
      <c r="G38" s="7">
        <v>0</v>
      </c>
      <c r="H38" s="7">
        <v>0</v>
      </c>
      <c r="I38" s="7">
        <v>0</v>
      </c>
      <c r="J38" s="7">
        <v>0</v>
      </c>
      <c r="K38" s="7">
        <v>0</v>
      </c>
      <c r="L38" s="7">
        <v>1</v>
      </c>
      <c r="M38" s="7">
        <v>0</v>
      </c>
    </row>
    <row r="39" spans="1:13" s="7" customFormat="1" ht="36" customHeight="1" x14ac:dyDescent="0.2">
      <c r="A39" s="21">
        <v>2</v>
      </c>
      <c r="B39" s="25" t="s">
        <v>206</v>
      </c>
      <c r="C39" s="23" t="s">
        <v>207</v>
      </c>
      <c r="D39" s="26" t="s">
        <v>119</v>
      </c>
      <c r="E39" s="7">
        <v>0</v>
      </c>
      <c r="F39" s="7">
        <v>0.15</v>
      </c>
      <c r="G39" s="7">
        <v>0</v>
      </c>
      <c r="H39" s="7">
        <v>0</v>
      </c>
      <c r="I39" s="7">
        <v>0</v>
      </c>
      <c r="J39" s="7">
        <v>0</v>
      </c>
      <c r="K39" s="7">
        <v>0</v>
      </c>
      <c r="L39" s="7">
        <v>1</v>
      </c>
      <c r="M39" s="7">
        <v>0</v>
      </c>
    </row>
    <row r="40" spans="1:13" s="7" customFormat="1" ht="36" customHeight="1" x14ac:dyDescent="0.2">
      <c r="A40" s="21">
        <v>2</v>
      </c>
      <c r="B40" s="22" t="s">
        <v>208</v>
      </c>
      <c r="C40" s="23" t="s">
        <v>209</v>
      </c>
      <c r="D40" s="24" t="s">
        <v>119</v>
      </c>
      <c r="E40" s="7">
        <v>0.25</v>
      </c>
      <c r="F40" s="7">
        <v>0</v>
      </c>
      <c r="G40" s="7">
        <v>0</v>
      </c>
      <c r="H40" s="7">
        <v>0</v>
      </c>
      <c r="I40" s="7">
        <v>0</v>
      </c>
      <c r="J40" s="7">
        <v>0</v>
      </c>
      <c r="K40" s="7">
        <v>0</v>
      </c>
      <c r="L40" s="7">
        <v>1</v>
      </c>
      <c r="M40" s="7">
        <v>0</v>
      </c>
    </row>
    <row r="41" spans="1:13" s="7" customFormat="1" ht="36" customHeight="1" x14ac:dyDescent="0.2">
      <c r="A41" s="21">
        <v>2</v>
      </c>
      <c r="B41" s="25" t="s">
        <v>210</v>
      </c>
      <c r="C41" s="23" t="s">
        <v>211</v>
      </c>
      <c r="D41" s="26" t="s">
        <v>119</v>
      </c>
      <c r="E41" s="7">
        <v>0</v>
      </c>
      <c r="F41" s="7">
        <v>0</v>
      </c>
      <c r="G41" s="7">
        <v>0</v>
      </c>
      <c r="H41" s="7">
        <v>0</v>
      </c>
      <c r="I41" s="7">
        <v>0</v>
      </c>
      <c r="J41" s="7">
        <v>0</v>
      </c>
      <c r="K41" s="7">
        <v>0</v>
      </c>
      <c r="L41" s="7">
        <v>1</v>
      </c>
      <c r="M41" s="7">
        <v>0</v>
      </c>
    </row>
    <row r="42" spans="1:13" s="7" customFormat="1" ht="36" customHeight="1" x14ac:dyDescent="0.2">
      <c r="A42" s="21">
        <v>1</v>
      </c>
      <c r="B42" s="22" t="s">
        <v>212</v>
      </c>
      <c r="C42" s="23" t="s">
        <v>213</v>
      </c>
      <c r="D42" s="24" t="s">
        <v>43</v>
      </c>
      <c r="E42" s="7">
        <v>0</v>
      </c>
      <c r="F42" s="7">
        <v>0</v>
      </c>
      <c r="G42" s="7">
        <v>0</v>
      </c>
      <c r="H42" s="7">
        <v>0.15</v>
      </c>
      <c r="I42" s="7">
        <v>0</v>
      </c>
      <c r="J42" s="7">
        <v>0</v>
      </c>
      <c r="K42" s="7">
        <v>0</v>
      </c>
      <c r="L42" s="7">
        <v>0</v>
      </c>
      <c r="M42" s="7">
        <v>1</v>
      </c>
    </row>
    <row r="43" spans="1:13" s="7" customFormat="1" ht="36" customHeight="1" x14ac:dyDescent="0.2">
      <c r="A43" s="21">
        <v>1</v>
      </c>
      <c r="B43" s="25" t="s">
        <v>214</v>
      </c>
      <c r="C43" s="23" t="s">
        <v>215</v>
      </c>
      <c r="D43" s="26" t="s">
        <v>43</v>
      </c>
      <c r="E43" s="7">
        <v>0</v>
      </c>
      <c r="F43" s="7">
        <v>0</v>
      </c>
      <c r="G43" s="7">
        <v>0</v>
      </c>
      <c r="H43" s="7">
        <v>0</v>
      </c>
      <c r="I43" s="7">
        <v>0</v>
      </c>
      <c r="J43" s="7">
        <v>0</v>
      </c>
      <c r="K43" s="7">
        <v>0</v>
      </c>
      <c r="L43" s="7">
        <v>0</v>
      </c>
      <c r="M43" s="7">
        <v>1</v>
      </c>
    </row>
    <row r="44" spans="1:13" s="7" customFormat="1" ht="36" customHeight="1" x14ac:dyDescent="0.2">
      <c r="A44" s="21">
        <v>1</v>
      </c>
      <c r="B44" s="22" t="s">
        <v>216</v>
      </c>
      <c r="C44" s="23" t="s">
        <v>217</v>
      </c>
      <c r="D44" s="24" t="s">
        <v>43</v>
      </c>
      <c r="E44" s="7">
        <v>0</v>
      </c>
      <c r="F44" s="7">
        <v>0</v>
      </c>
      <c r="G44" s="7">
        <v>0</v>
      </c>
      <c r="H44" s="7">
        <v>0</v>
      </c>
      <c r="I44" s="7">
        <v>0.25</v>
      </c>
      <c r="J44" s="7">
        <v>0</v>
      </c>
      <c r="K44" s="7">
        <v>0</v>
      </c>
      <c r="L44" s="7">
        <v>0</v>
      </c>
      <c r="M44" s="7">
        <v>1</v>
      </c>
    </row>
    <row r="45" spans="1:13" s="7" customFormat="1" ht="36" customHeight="1" x14ac:dyDescent="0.2">
      <c r="A45" s="21">
        <v>1</v>
      </c>
      <c r="B45" s="25" t="s">
        <v>218</v>
      </c>
      <c r="C45" s="23" t="s">
        <v>219</v>
      </c>
      <c r="D45" s="26" t="s">
        <v>43</v>
      </c>
      <c r="E45" s="7">
        <v>0</v>
      </c>
      <c r="F45" s="7">
        <v>0</v>
      </c>
      <c r="G45" s="7">
        <v>0</v>
      </c>
      <c r="H45" s="7">
        <v>0</v>
      </c>
      <c r="I45" s="7">
        <v>0</v>
      </c>
      <c r="J45" s="7">
        <v>0</v>
      </c>
      <c r="K45" s="7">
        <v>0</v>
      </c>
      <c r="L45" s="7">
        <v>0</v>
      </c>
      <c r="M45" s="7">
        <v>1</v>
      </c>
    </row>
    <row r="46" spans="1:13" ht="21.75" customHeight="1" x14ac:dyDescent="0.2"/>
    <row r="47" spans="1:13" ht="21.75" customHeight="1" x14ac:dyDescent="0.2"/>
    <row r="48" spans="1:13" ht="21.75" customHeight="1" x14ac:dyDescent="0.2">
      <c r="A48" s="202" t="s">
        <v>134</v>
      </c>
      <c r="B48" s="202"/>
      <c r="C48" s="202"/>
      <c r="D48" s="202"/>
      <c r="E48" s="202"/>
    </row>
    <row r="49" spans="1:16" ht="21.75" customHeight="1" x14ac:dyDescent="0.2">
      <c r="A49" s="27" t="s">
        <v>135</v>
      </c>
      <c r="B49" s="27" t="s">
        <v>136</v>
      </c>
      <c r="C49" s="27" t="s">
        <v>137</v>
      </c>
      <c r="P49" s="7" t="s">
        <v>138</v>
      </c>
    </row>
    <row r="50" spans="1:16" s="7" customFormat="1" ht="21.75" customHeight="1" x14ac:dyDescent="0.2">
      <c r="A50" s="28" t="s">
        <v>35</v>
      </c>
      <c r="B50" s="29">
        <f>ROUND((SUMPRODUCT($A$10:$A$45,$E$10:$E$45))/(4*SUM($E$10:$E$45))*100,0)</f>
        <v>68</v>
      </c>
      <c r="C50" s="1" t="str">
        <f>IF(B50="","",IF(B50&gt;=Admin_Settings!$B$3,Admin_Settings!$B$7,IF(B50&gt;=Admin_Settings!$B$4,Admin_Settings!$B$8,IF(B50&gt;=Admin_Settings!$B$5,Admin_Settings!$B$9,IF(B50&gt;=Admin_Settings!$B$6,Admin_Settings!$B$10,Admin_Settings!$B$11)))))</f>
        <v>Moderate Fit</v>
      </c>
      <c r="N50" s="7">
        <f t="shared" ref="N50:N58" si="0">B50+ROW()/10000</f>
        <v>68.004999999999995</v>
      </c>
      <c r="O50" s="7" t="str">
        <f>INDEX($A$50:$A$58,MATCH(LARGE($N$50:$N$58,1),$N$50:$N$58,0))</f>
        <v>Learning &amp; Support Path</v>
      </c>
      <c r="P50" s="30">
        <f>INDEX($B$50:$B$58,MATCH(LARGE($N$50:$N$58,1),$N$50:$N$58,0))</f>
        <v>80</v>
      </c>
    </row>
    <row r="51" spans="1:16" s="7" customFormat="1" ht="21.75" customHeight="1" x14ac:dyDescent="0.2">
      <c r="A51" s="31" t="s">
        <v>68</v>
      </c>
      <c r="B51" s="32">
        <f>ROUND((SUMPRODUCT($A$10:$A$45,$F$10:$F$45))/(4*SUM($F$10:$F$45))*100,0)</f>
        <v>33</v>
      </c>
      <c r="C51" s="1" t="str">
        <f>IF(B51="","",IF(B51&gt;=Admin_Settings!$B$3,Admin_Settings!$B$7,IF(B51&gt;=Admin_Settings!$B$4,Admin_Settings!$B$8,IF(B51&gt;=Admin_Settings!$B$5,Admin_Settings!$B$9,IF(B51&gt;=Admin_Settings!$B$6,Admin_Settings!$B$10,Admin_Settings!$B$11)))))</f>
        <v>Low Fit</v>
      </c>
      <c r="N51" s="7">
        <f t="shared" si="0"/>
        <v>33.005099999999999</v>
      </c>
      <c r="O51" s="7" t="str">
        <f>INDEX($A$50:$A$58,MATCH(LARGE($N$50:$N$58,2),$N$50:$N$58,0))</f>
        <v>Business Growth &amp; Leadership Path</v>
      </c>
      <c r="P51" s="30">
        <f>INDEX($B$50:$B$58,MATCH(LARGE($N$50:$N$58,2),$N$50:$N$58,0))</f>
        <v>78</v>
      </c>
    </row>
    <row r="52" spans="1:16" s="7" customFormat="1" ht="21.75" customHeight="1" x14ac:dyDescent="0.2">
      <c r="A52" s="33" t="s">
        <v>77</v>
      </c>
      <c r="B52" s="34">
        <f>ROUND((SUMPRODUCT($A$10:$A$45,$G$10:$G$45))/(4*SUM($G$10:$G$45))*100,0)</f>
        <v>80</v>
      </c>
      <c r="C52" s="1" t="str">
        <f>IF(B52="","",IF(B52&gt;=Admin_Settings!$B$3,Admin_Settings!$B$7,IF(B52&gt;=Admin_Settings!$B$4,Admin_Settings!$B$8,IF(B52&gt;=Admin_Settings!$B$5,Admin_Settings!$B$9,IF(B52&gt;=Admin_Settings!$B$6,Admin_Settings!$B$10,Admin_Settings!$B$11)))))</f>
        <v>Strong Fit</v>
      </c>
      <c r="N52" s="7">
        <f t="shared" si="0"/>
        <v>80.005200000000002</v>
      </c>
      <c r="O52" s="7" t="str">
        <f>INDEX($A$50:$A$58,MATCH(LARGE($N$50:$N$58,3),$N$50:$N$58,0))</f>
        <v>Clinical Care Path</v>
      </c>
      <c r="P52" s="30">
        <f>INDEX($B$50:$B$58,MATCH(LARGE($N$50:$N$58,3),$N$50:$N$58,0))</f>
        <v>68</v>
      </c>
    </row>
    <row r="53" spans="1:16" s="7" customFormat="1" ht="21.75" customHeight="1" x14ac:dyDescent="0.2">
      <c r="A53" s="35" t="s">
        <v>38</v>
      </c>
      <c r="B53" s="36">
        <f>ROUND((SUMPRODUCT($A$10:$A$45,$H$10:$H$45))/(4*SUM($H$10:$H$45))*100,0)</f>
        <v>43</v>
      </c>
      <c r="C53" s="1" t="str">
        <f>IF(B53="","",IF(B53&gt;=Admin_Settings!$B$3,Admin_Settings!$B$7,IF(B53&gt;=Admin_Settings!$B$4,Admin_Settings!$B$8,IF(B53&gt;=Admin_Settings!$B$5,Admin_Settings!$B$9,IF(B53&gt;=Admin_Settings!$B$6,Admin_Settings!$B$10,Admin_Settings!$B$11)))))</f>
        <v>Emerging Fit</v>
      </c>
      <c r="N53" s="7">
        <f t="shared" si="0"/>
        <v>43.005299999999998</v>
      </c>
      <c r="O53" s="7" t="str">
        <f>INDEX($A$50:$A$58,MATCH(LARGE($N$50:$N$58,4),$N$50:$N$58,0))</f>
        <v>Creative Path</v>
      </c>
      <c r="P53" s="30">
        <f>INDEX($B$50:$B$58,MATCH(LARGE($N$50:$N$58,4),$N$50:$N$58,0))</f>
        <v>66</v>
      </c>
    </row>
    <row r="54" spans="1:16" s="7" customFormat="1" ht="21.75" customHeight="1" x14ac:dyDescent="0.2">
      <c r="A54" s="37" t="s">
        <v>39</v>
      </c>
      <c r="B54" s="38">
        <f>ROUND((SUMPRODUCT($A$10:$A$45,$I$10:$I$45))/(4*SUM($I$10:$I$45))*100,0)</f>
        <v>60</v>
      </c>
      <c r="C54" s="1" t="str">
        <f>IF(B54="","",IF(B54&gt;=Admin_Settings!$B$3,Admin_Settings!$B$7,IF(B54&gt;=Admin_Settings!$B$4,Admin_Settings!$B$8,IF(B54&gt;=Admin_Settings!$B$5,Admin_Settings!$B$9,IF(B54&gt;=Admin_Settings!$B$6,Admin_Settings!$B$10,Admin_Settings!$B$11)))))</f>
        <v>Moderate Fit</v>
      </c>
      <c r="N54" s="7">
        <f t="shared" si="0"/>
        <v>60.005400000000002</v>
      </c>
      <c r="O54" s="7" t="str">
        <f>INDEX($A$50:$A$58,MATCH(LARGE($N$50:$N$58,5),$N$50:$N$58,0))</f>
        <v>STEM Systems Path</v>
      </c>
      <c r="P54" s="30">
        <f>INDEX($B$50:$B$58,MATCH(LARGE($N$50:$N$58,5),$N$50:$N$58,0))</f>
        <v>60</v>
      </c>
    </row>
    <row r="55" spans="1:16" s="7" customFormat="1" ht="21.75" customHeight="1" x14ac:dyDescent="0.2">
      <c r="A55" s="39" t="s">
        <v>139</v>
      </c>
      <c r="B55" s="40">
        <f>ROUND((SUMPRODUCT($A$10:$A$45,$J$10:$J$45))/(4*SUM($J$10:$J$45))*100,0)</f>
        <v>78</v>
      </c>
      <c r="C55" s="1" t="str">
        <f>IF(B55="","",IF(B55&gt;=Admin_Settings!$B$3,Admin_Settings!$B$7,IF(B55&gt;=Admin_Settings!$B$4,Admin_Settings!$B$8,IF(B55&gt;=Admin_Settings!$B$5,Admin_Settings!$B$9,IF(B55&gt;=Admin_Settings!$B$6,Admin_Settings!$B$10,Admin_Settings!$B$11)))))</f>
        <v>Strong Fit</v>
      </c>
      <c r="N55" s="7">
        <f t="shared" si="0"/>
        <v>78.005499999999998</v>
      </c>
      <c r="O55" s="7" t="str">
        <f>INDEX($A$50:$A$58,MATCH(LARGE($N$50:$N$58,6),$N$50:$N$58,0))</f>
        <v>Experience &amp; Service Path</v>
      </c>
      <c r="P55" s="30">
        <f>INDEX($B$50:$B$58,MATCH(LARGE($N$50:$N$58,6),$N$50:$N$58,0))</f>
        <v>50</v>
      </c>
    </row>
    <row r="56" spans="1:16" s="7" customFormat="1" ht="21.75" customHeight="1" x14ac:dyDescent="0.2">
      <c r="A56" s="41" t="s">
        <v>41</v>
      </c>
      <c r="B56" s="42">
        <f>ROUND((SUMPRODUCT($A$10:$A$45,$K$10:$K$45))/(4*SUM($K$10:$K$45))*100,0)</f>
        <v>66</v>
      </c>
      <c r="C56" s="1" t="str">
        <f>IF(B56="","",IF(B56&gt;=Admin_Settings!$B$3,Admin_Settings!$B$7,IF(B56&gt;=Admin_Settings!$B$4,Admin_Settings!$B$8,IF(B56&gt;=Admin_Settings!$B$5,Admin_Settings!$B$9,IF(B56&gt;=Admin_Settings!$B$6,Admin_Settings!$B$10,Admin_Settings!$B$11)))))</f>
        <v>Moderate Fit</v>
      </c>
      <c r="N56" s="7">
        <f t="shared" si="0"/>
        <v>66.005600000000001</v>
      </c>
      <c r="O56" s="7" t="str">
        <f>INDEX($A$50:$A$58,MATCH(LARGE($N$50:$N$58,7),$N$50:$N$58,0))</f>
        <v>Build &amp; Fix Path</v>
      </c>
      <c r="P56" s="30">
        <f>INDEX($B$50:$B$58,MATCH(LARGE($N$50:$N$58,7),$N$50:$N$58,0))</f>
        <v>43</v>
      </c>
    </row>
    <row r="57" spans="1:16" s="7" customFormat="1" ht="21.75" customHeight="1" x14ac:dyDescent="0.2">
      <c r="A57" s="43" t="s">
        <v>119</v>
      </c>
      <c r="B57" s="44">
        <f>ROUND((SUMPRODUCT($A$10:$A$45,$L$10:$L$45))/(4*SUM($L$10:$L$45))*100,0)</f>
        <v>50</v>
      </c>
      <c r="C57" s="1" t="str">
        <f>IF(B57="","",IF(B57&gt;=Admin_Settings!$B$3,Admin_Settings!$B$7,IF(B57&gt;=Admin_Settings!$B$4,Admin_Settings!$B$8,IF(B57&gt;=Admin_Settings!$B$5,Admin_Settings!$B$9,IF(B57&gt;=Admin_Settings!$B$6,Admin_Settings!$B$10,Admin_Settings!$B$11)))))</f>
        <v>Emerging Fit</v>
      </c>
      <c r="N57" s="7">
        <f t="shared" si="0"/>
        <v>50.005699999999997</v>
      </c>
      <c r="O57" s="7" t="str">
        <f>INDEX($A$50:$A$58,MATCH(LARGE($N$50:$N$58,8),$N$50:$N$58,0))</f>
        <v>Protection Path</v>
      </c>
      <c r="P57" s="30">
        <f>INDEX($B$50:$B$58,MATCH(LARGE($N$50:$N$58,8),$N$50:$N$58,0))</f>
        <v>33</v>
      </c>
    </row>
    <row r="58" spans="1:16" s="7" customFormat="1" ht="21.75" customHeight="1" x14ac:dyDescent="0.2">
      <c r="A58" s="33" t="s">
        <v>43</v>
      </c>
      <c r="B58" s="34">
        <f>ROUND((SUMPRODUCT($A$10:$A$45,$M$10:$M$45))/(4*SUM($M$10:$M$45))*100,0)</f>
        <v>25</v>
      </c>
      <c r="C58" s="1" t="str">
        <f>IF(B58="","",IF(B58&gt;=Admin_Settings!$B$3,Admin_Settings!$B$7,IF(B58&gt;=Admin_Settings!$B$4,Admin_Settings!$B$8,IF(B58&gt;=Admin_Settings!$B$5,Admin_Settings!$B$9,IF(B58&gt;=Admin_Settings!$B$6,Admin_Settings!$B$10,Admin_Settings!$B$11)))))</f>
        <v>Low Fit</v>
      </c>
      <c r="N58" s="7">
        <f t="shared" si="0"/>
        <v>25.005800000000001</v>
      </c>
      <c r="O58" s="7" t="str">
        <f>INDEX($A$50:$A$58,MATCH(LARGE($N$50:$N$58,9),$N$50:$N$58,0))</f>
        <v>Outdoor Systems Path</v>
      </c>
      <c r="P58" s="30">
        <f>INDEX($B$50:$B$58,MATCH(LARGE($N$50:$N$58,9),$N$50:$N$58,0))</f>
        <v>25</v>
      </c>
    </row>
    <row r="59" spans="1:16" ht="21.75" customHeight="1" x14ac:dyDescent="0.2"/>
    <row r="60" spans="1:16" ht="21.75" customHeight="1" x14ac:dyDescent="0.2">
      <c r="A60" s="199" t="s">
        <v>140</v>
      </c>
      <c r="B60" s="199"/>
      <c r="C60" s="199"/>
      <c r="D60" s="199"/>
      <c r="E60" s="199"/>
      <c r="F60" s="45"/>
      <c r="G60" s="45"/>
      <c r="H60" s="45"/>
      <c r="I60" s="45"/>
      <c r="J60" s="45"/>
      <c r="K60" s="45"/>
      <c r="L60" s="45"/>
      <c r="M60" s="45"/>
    </row>
    <row r="61" spans="1:16" ht="21.75" customHeight="1" x14ac:dyDescent="0.2">
      <c r="A61" s="46" t="s">
        <v>141</v>
      </c>
      <c r="B61" s="46" t="s">
        <v>135</v>
      </c>
      <c r="C61" s="47" t="s">
        <v>138</v>
      </c>
      <c r="D61" s="46" t="s">
        <v>137</v>
      </c>
      <c r="E61" s="45"/>
      <c r="F61" s="45"/>
      <c r="G61" s="45"/>
      <c r="H61" s="45"/>
      <c r="I61" s="45"/>
      <c r="J61" s="45"/>
      <c r="K61" s="45"/>
      <c r="L61" s="45"/>
      <c r="M61" s="45"/>
    </row>
    <row r="62" spans="1:16" ht="21.75" customHeight="1" x14ac:dyDescent="0.2">
      <c r="A62" s="48">
        <v>1</v>
      </c>
      <c r="B62" s="49" t="str">
        <f>IFERROR(INDEX($A$50:$A$58,MATCH(LARGE($N$50:$N$58,1),$N$50:$N$58,0)),"")</f>
        <v>Learning &amp; Support Path</v>
      </c>
      <c r="C62" s="50">
        <f>IFERROR(INDEX($B$50:$B$58,MATCH(LARGE($N$50:$N$58,1),$N$50:$N$58,0)),"")</f>
        <v>80</v>
      </c>
      <c r="D62" s="49" t="str">
        <f>IFERROR(INDEX($C$50:$C$58,MATCH(LARGE($N$50:$N$58,1),$N$50:$N$58,0)),"")</f>
        <v>Strong Fit</v>
      </c>
      <c r="E62" s="45"/>
      <c r="F62" s="45"/>
      <c r="G62" s="45"/>
      <c r="H62" s="45"/>
      <c r="I62" s="45"/>
      <c r="J62" s="45"/>
      <c r="K62" s="45"/>
      <c r="L62" s="45"/>
      <c r="M62" s="45"/>
    </row>
    <row r="63" spans="1:16" ht="21.75" customHeight="1" x14ac:dyDescent="0.2">
      <c r="A63" s="48">
        <v>2</v>
      </c>
      <c r="B63" s="49" t="str">
        <f>IFERROR(INDEX($A$50:$A$58,MATCH(LARGE($N$50:$N$58,2),$N$50:$N$58,0)),"")</f>
        <v>Business Growth &amp; Leadership Path</v>
      </c>
      <c r="C63" s="50">
        <f>IFERROR(INDEX($B$50:$B$58,MATCH(LARGE($N$50:$N$58,2),$N$50:$N$58,0)),"")</f>
        <v>78</v>
      </c>
      <c r="D63" s="49" t="str">
        <f>IFERROR(INDEX($C$50:$C$58,MATCH(LARGE($N$50:$N$58,2),$N$50:$N$58,0)),"")</f>
        <v>Strong Fit</v>
      </c>
      <c r="E63" s="45"/>
      <c r="F63" s="45"/>
      <c r="G63" s="45"/>
      <c r="H63" s="45"/>
      <c r="I63" s="45"/>
      <c r="J63" s="45"/>
      <c r="K63" s="45"/>
      <c r="L63" s="45"/>
      <c r="M63" s="45"/>
    </row>
    <row r="64" spans="1:16" ht="21.75" customHeight="1" x14ac:dyDescent="0.2">
      <c r="A64" s="48">
        <v>3</v>
      </c>
      <c r="B64" s="49" t="str">
        <f>IFERROR(INDEX($A$50:$A$58,MATCH(LARGE($N$50:$N$58,3),$N$50:$N$58,0)),"")</f>
        <v>Clinical Care Path</v>
      </c>
      <c r="C64" s="50">
        <f>IFERROR(INDEX($B$50:$B$58,MATCH(LARGE($N$50:$N$58,3),$N$50:$N$58,0)),"")</f>
        <v>68</v>
      </c>
      <c r="D64" s="49" t="str">
        <f>IFERROR(INDEX($C$50:$C$58,MATCH(LARGE($N$50:$N$58,3),$N$50:$N$58,0)),"")</f>
        <v>Moderate Fit</v>
      </c>
      <c r="E64" s="45"/>
      <c r="F64" s="45"/>
      <c r="G64" s="45"/>
      <c r="H64" s="45"/>
      <c r="I64" s="45"/>
      <c r="J64" s="45"/>
      <c r="K64" s="45"/>
      <c r="L64" s="45"/>
      <c r="M64" s="45"/>
    </row>
    <row r="65" spans="1:13" ht="21.75" customHeight="1" x14ac:dyDescent="0.2">
      <c r="A65" s="45"/>
      <c r="B65" s="45"/>
      <c r="C65" s="45"/>
      <c r="D65" s="45"/>
      <c r="E65" s="45"/>
      <c r="F65" s="45"/>
      <c r="G65" s="45"/>
      <c r="H65" s="45"/>
      <c r="I65" s="45"/>
      <c r="J65" s="45"/>
      <c r="K65" s="45"/>
      <c r="L65" s="45"/>
      <c r="M65" s="45"/>
    </row>
    <row r="66" spans="1:13" ht="21.75" customHeight="1" x14ac:dyDescent="0.2">
      <c r="A66" s="199" t="s">
        <v>142</v>
      </c>
      <c r="B66" s="199"/>
      <c r="C66" s="199"/>
      <c r="D66" s="199"/>
      <c r="E66" s="199"/>
      <c r="F66" s="45"/>
      <c r="G66" s="45"/>
      <c r="H66" s="45"/>
      <c r="I66" s="45"/>
      <c r="J66" s="45"/>
      <c r="K66" s="45"/>
      <c r="L66" s="45"/>
      <c r="M66" s="45"/>
    </row>
    <row r="67" spans="1:13" ht="21.75" customHeight="1" x14ac:dyDescent="0.2">
      <c r="A67" s="45"/>
      <c r="B67" s="45"/>
      <c r="C67" s="45"/>
      <c r="D67" s="45"/>
      <c r="E67" s="45"/>
      <c r="F67" s="45"/>
      <c r="G67" s="45"/>
      <c r="H67" s="45"/>
      <c r="I67" s="45"/>
      <c r="J67" s="45"/>
      <c r="K67" s="45"/>
      <c r="L67" s="45"/>
      <c r="M67" s="45"/>
    </row>
    <row r="68" spans="1:13" ht="21.75" customHeight="1" x14ac:dyDescent="0.2">
      <c r="A68" s="45"/>
      <c r="B68" s="45"/>
      <c r="C68" s="45"/>
      <c r="D68" s="45"/>
      <c r="E68" s="45"/>
      <c r="F68" s="45"/>
      <c r="G68" s="45"/>
      <c r="H68" s="45"/>
      <c r="I68" s="45"/>
      <c r="J68" s="45"/>
      <c r="K68" s="45"/>
      <c r="L68" s="45"/>
      <c r="M68" s="45"/>
    </row>
    <row r="69" spans="1:13" ht="21.75" customHeight="1" x14ac:dyDescent="0.2">
      <c r="A69" s="45"/>
      <c r="B69" s="45"/>
      <c r="C69" s="45"/>
      <c r="D69" s="45"/>
      <c r="E69" s="45"/>
      <c r="F69" s="45"/>
      <c r="G69" s="45"/>
      <c r="H69" s="45"/>
      <c r="I69" s="45"/>
      <c r="J69" s="45"/>
      <c r="K69" s="45"/>
      <c r="L69" s="45"/>
      <c r="M69" s="45"/>
    </row>
    <row r="70" spans="1:13" ht="21.75" customHeight="1" x14ac:dyDescent="0.2">
      <c r="A70" s="45"/>
      <c r="B70" s="45"/>
      <c r="C70" s="45"/>
      <c r="D70" s="45"/>
      <c r="E70" s="45"/>
      <c r="F70" s="45"/>
      <c r="G70" s="45"/>
      <c r="H70" s="45"/>
      <c r="I70" s="45"/>
      <c r="J70" s="45"/>
      <c r="K70" s="45"/>
      <c r="L70" s="45"/>
      <c r="M70" s="45"/>
    </row>
  </sheetData>
  <sheetProtection sheet="1" formatColumns="0" formatRows="0"/>
  <mergeCells count="11">
    <mergeCell ref="A1:C1"/>
    <mergeCell ref="D1:E1"/>
    <mergeCell ref="A2:C2"/>
    <mergeCell ref="A3:C3"/>
    <mergeCell ref="A4:C4"/>
    <mergeCell ref="A66:E66"/>
    <mergeCell ref="A5:C5"/>
    <mergeCell ref="A6:C6"/>
    <mergeCell ref="A8:C8"/>
    <mergeCell ref="A48:E48"/>
    <mergeCell ref="A60:E60"/>
  </mergeCells>
  <conditionalFormatting sqref="A10:A45">
    <cfRule type="cellIs" dxfId="41" priority="15" operator="between">
      <formula>1</formula>
      <formula>4</formula>
    </cfRule>
  </conditionalFormatting>
  <conditionalFormatting sqref="B50:B58">
    <cfRule type="dataBar" priority="4">
      <dataBar>
        <cfvo type="num" val="0"/>
        <cfvo type="num" val="100"/>
        <color rgb="FF63C384"/>
      </dataBar>
      <extLst>
        <ext xmlns:x14="http://schemas.microsoft.com/office/spreadsheetml/2009/9/main" uri="{B025F937-C7B1-47D3-B67F-A62EFF666E3E}">
          <x14:id>{2C7DA321-80C3-4B90-977F-1C9A54E1DC1E}</x14:id>
        </ext>
      </extLst>
    </cfRule>
  </conditionalFormatting>
  <conditionalFormatting sqref="C8">
    <cfRule type="dataBar" priority="3">
      <dataBar>
        <cfvo type="num" val="0"/>
        <cfvo type="num" val="100"/>
        <color rgb="FF63C384"/>
      </dataBar>
      <extLst>
        <ext xmlns:x14="http://schemas.microsoft.com/office/spreadsheetml/2009/9/main" uri="{B025F937-C7B1-47D3-B67F-A62EFF666E3E}">
          <x14:id>{EFB466A7-A3A9-416C-B06A-C9AF25496FE0}</x14:id>
        </ext>
      </extLst>
    </cfRule>
  </conditionalFormatting>
  <conditionalFormatting sqref="C50:C64">
    <cfRule type="containsText" dxfId="40" priority="5" operator="containsText" text="Very Strong Fit">
      <formula>NOT(ISERROR(SEARCH("Very Strong Fit",C50)))</formula>
    </cfRule>
    <cfRule type="containsText" dxfId="39" priority="6" operator="containsText" text="Strong Fit">
      <formula>NOT(ISERROR(SEARCH("Strong Fit",C50)))</formula>
    </cfRule>
    <cfRule type="containsText" dxfId="38" priority="7" operator="containsText" text="Moderate Fit">
      <formula>NOT(ISERROR(SEARCH("Moderate Fit",C50)))</formula>
    </cfRule>
    <cfRule type="containsText" dxfId="37" priority="8" operator="containsText" text="Emerging Fit">
      <formula>NOT(ISERROR(SEARCH("Emerging Fit",C50)))</formula>
    </cfRule>
    <cfRule type="containsText" dxfId="36" priority="9" operator="containsText" text="Low Fit">
      <formula>NOT(ISERROR(SEARCH("Low Fit",C50)))</formula>
    </cfRule>
  </conditionalFormatting>
  <conditionalFormatting sqref="D8">
    <cfRule type="expression" dxfId="35" priority="2">
      <formula>C8&gt;=70</formula>
    </cfRule>
  </conditionalFormatting>
  <conditionalFormatting sqref="D62:D64">
    <cfRule type="containsText" dxfId="34" priority="10" operator="containsText" text="Very Strong Fit">
      <formula>NOT(ISERROR(SEARCH("Very Strong Fit",D62)))</formula>
    </cfRule>
    <cfRule type="containsText" dxfId="33" priority="11" operator="containsText" text="Strong Fit">
      <formula>NOT(ISERROR(SEARCH("Strong Fit",D62)))</formula>
    </cfRule>
    <cfRule type="containsText" dxfId="32" priority="12" operator="containsText" text="Moderate Fit">
      <formula>NOT(ISERROR(SEARCH("Moderate Fit",D62)))</formula>
    </cfRule>
    <cfRule type="containsText" dxfId="31" priority="13" operator="containsText" text="Emerging Fit">
      <formula>NOT(ISERROR(SEARCH("Emerging Fit",D62)))</formula>
    </cfRule>
    <cfRule type="containsText" dxfId="30" priority="14" operator="containsText" text="Low Fit">
      <formula>NOT(ISERROR(SEARCH("Low Fit",D62)))</formula>
    </cfRule>
  </conditionalFormatting>
  <dataValidations count="1">
    <dataValidation type="list" allowBlank="1" showInputMessage="1" showErrorMessage="1" errorTitle="Invalid entry" error="Please select 1, 2, 3, or 4 from the dropdown." promptTitle="Rating (1–4)" prompt="1 = Not like me_x000a_2 = A little like me_x000a_3 = Mostly like me_x000a_4 = Very like me" sqref="A10:A45" xr:uid="{00000000-0002-0000-0200-000000000000}">
      <formula1>"1,2,3,4"</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2C7DA321-80C3-4B90-977F-1C9A54E1DC1E}">
            <x14:dataBar axisPosition="none">
              <x14:cfvo type="num">
                <xm:f>0</xm:f>
              </x14:cfvo>
              <x14:cfvo type="num">
                <xm:f>100</xm:f>
              </x14:cfvo>
              <x14:negativeFillColor rgb="FF63C384"/>
            </x14:dataBar>
          </x14:cfRule>
          <xm:sqref>B50:B58</xm:sqref>
        </x14:conditionalFormatting>
        <x14:conditionalFormatting xmlns:xm="http://schemas.microsoft.com/office/excel/2006/main">
          <x14:cfRule type="dataBar" id="{EFB466A7-A3A9-416C-B06A-C9AF25496FE0}">
            <x14:dataBar axisPosition="none">
              <x14:cfvo type="num">
                <xm:f>0</xm:f>
              </x14:cfvo>
              <x14:cfvo type="num">
                <xm:f>100</xm:f>
              </x14:cfvo>
              <x14:negativeFillColor rgb="FF63C384"/>
            </x14:dataBar>
          </x14:cfRule>
          <xm:sqref>C8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2"/>
  <sheetViews>
    <sheetView showGridLines="0" tabSelected="1" zoomScaleNormal="100" workbookViewId="0">
      <pane ySplit="9" topLeftCell="A10" activePane="bottomLeft" state="frozen"/>
      <selection pane="bottomLeft" activeCell="A5" sqref="A5"/>
    </sheetView>
  </sheetViews>
  <sheetFormatPr baseColWidth="10" defaultColWidth="8.83203125" defaultRowHeight="15" x14ac:dyDescent="0.2"/>
  <cols>
    <col min="1" max="1" width="29.6640625" style="7" customWidth="1"/>
    <col min="2" max="2" width="55" style="7" customWidth="1"/>
    <col min="3" max="3" width="8" style="7" customWidth="1"/>
    <col min="4" max="4" width="26" style="7" customWidth="1"/>
    <col min="5" max="13" width="18" style="7" customWidth="1"/>
    <col min="14" max="14" width="13" style="7" customWidth="1"/>
  </cols>
  <sheetData>
    <row r="1" spans="1:13" s="7" customFormat="1" ht="39.75" customHeight="1" x14ac:dyDescent="0.2">
      <c r="A1" s="52" t="s">
        <v>220</v>
      </c>
      <c r="B1" s="52"/>
      <c r="C1" s="52"/>
      <c r="D1" s="52" t="s">
        <v>25</v>
      </c>
      <c r="E1" s="52"/>
    </row>
    <row r="2" spans="1:13" s="7" customFormat="1" ht="30" customHeight="1" x14ac:dyDescent="0.2">
      <c r="A2" s="53" t="s">
        <v>221</v>
      </c>
      <c r="D2" s="8" t="s">
        <v>27</v>
      </c>
      <c r="E2" s="9">
        <f>COUNT(A10:A45)</f>
        <v>36</v>
      </c>
    </row>
    <row r="3" spans="1:13" s="7" customFormat="1" ht="49" customHeight="1" x14ac:dyDescent="0.2">
      <c r="A3" s="53" t="s">
        <v>222</v>
      </c>
      <c r="D3" s="8" t="s">
        <v>29</v>
      </c>
      <c r="E3" s="9">
        <v>36</v>
      </c>
    </row>
    <row r="4" spans="1:13" s="7" customFormat="1" ht="30" customHeight="1" x14ac:dyDescent="0.2">
      <c r="A4" s="53" t="s">
        <v>223</v>
      </c>
      <c r="D4" s="8" t="s">
        <v>31</v>
      </c>
      <c r="E4" s="9" t="str">
        <f>ROUND(E2/E3*100,0)&amp;"%"</f>
        <v>100%</v>
      </c>
    </row>
    <row r="5" spans="1:13" s="7" customFormat="1" ht="30" customHeight="1" x14ac:dyDescent="0.2">
      <c r="A5" s="53" t="s">
        <v>224</v>
      </c>
    </row>
    <row r="6" spans="1:13" s="7" customFormat="1" ht="33" customHeight="1" x14ac:dyDescent="0.2">
      <c r="A6" s="53" t="s">
        <v>33</v>
      </c>
    </row>
    <row r="7" spans="1:13" ht="19.5" customHeight="1" x14ac:dyDescent="0.2">
      <c r="A7" s="10"/>
      <c r="B7" s="10"/>
      <c r="C7" s="10"/>
    </row>
    <row r="8" spans="1:13" s="7" customFormat="1" ht="60" customHeight="1" x14ac:dyDescent="0.2">
      <c r="A8" s="190" t="s">
        <v>34</v>
      </c>
      <c r="B8" s="190"/>
      <c r="C8" s="54"/>
      <c r="E8" s="11" t="s">
        <v>35</v>
      </c>
      <c r="F8" s="12" t="s">
        <v>36</v>
      </c>
      <c r="G8" s="13" t="s">
        <v>37</v>
      </c>
      <c r="H8" s="14" t="s">
        <v>38</v>
      </c>
      <c r="I8" s="15" t="s">
        <v>39</v>
      </c>
      <c r="J8" s="16" t="s">
        <v>40</v>
      </c>
      <c r="K8" s="17" t="s">
        <v>41</v>
      </c>
      <c r="L8" s="18" t="s">
        <v>42</v>
      </c>
      <c r="M8" s="13" t="s">
        <v>43</v>
      </c>
    </row>
    <row r="9" spans="1:13" s="7" customFormat="1" ht="25.5" customHeight="1" x14ac:dyDescent="0.2">
      <c r="A9" s="19" t="s">
        <v>44</v>
      </c>
      <c r="B9" s="19" t="s">
        <v>225</v>
      </c>
      <c r="C9" s="19" t="s">
        <v>46</v>
      </c>
      <c r="D9" s="19" t="s">
        <v>47</v>
      </c>
      <c r="E9" s="19" t="s">
        <v>48</v>
      </c>
      <c r="F9" s="19" t="s">
        <v>49</v>
      </c>
      <c r="G9" s="19" t="s">
        <v>50</v>
      </c>
      <c r="H9" s="19" t="s">
        <v>51</v>
      </c>
      <c r="I9" s="19" t="s">
        <v>52</v>
      </c>
      <c r="J9" s="55" t="s">
        <v>53</v>
      </c>
      <c r="K9" s="55" t="s">
        <v>54</v>
      </c>
      <c r="L9" s="55" t="s">
        <v>55</v>
      </c>
      <c r="M9" s="55" t="s">
        <v>56</v>
      </c>
    </row>
    <row r="10" spans="1:13" s="7" customFormat="1" ht="36" customHeight="1" x14ac:dyDescent="0.2">
      <c r="A10" s="21">
        <v>3</v>
      </c>
      <c r="B10" s="22" t="s">
        <v>226</v>
      </c>
      <c r="C10" s="23" t="s">
        <v>227</v>
      </c>
      <c r="D10" s="24" t="s">
        <v>59</v>
      </c>
      <c r="E10" s="7">
        <v>1</v>
      </c>
      <c r="F10" s="7">
        <v>0</v>
      </c>
      <c r="G10" s="7">
        <v>0</v>
      </c>
      <c r="H10" s="7">
        <v>0</v>
      </c>
      <c r="I10" s="7">
        <v>0</v>
      </c>
      <c r="J10" s="7">
        <v>0</v>
      </c>
      <c r="K10" s="7">
        <v>0</v>
      </c>
      <c r="L10" s="7">
        <v>0</v>
      </c>
      <c r="M10" s="7">
        <v>0</v>
      </c>
    </row>
    <row r="11" spans="1:13" s="7" customFormat="1" ht="36" customHeight="1" x14ac:dyDescent="0.2">
      <c r="A11" s="21">
        <v>3</v>
      </c>
      <c r="B11" s="25" t="s">
        <v>228</v>
      </c>
      <c r="C11" s="23" t="s">
        <v>229</v>
      </c>
      <c r="D11" s="26" t="s">
        <v>59</v>
      </c>
      <c r="E11" s="7">
        <v>1</v>
      </c>
      <c r="F11" s="7">
        <v>0</v>
      </c>
      <c r="G11" s="7">
        <v>0</v>
      </c>
      <c r="H11" s="7">
        <v>0</v>
      </c>
      <c r="I11" s="7">
        <v>0</v>
      </c>
      <c r="J11" s="7">
        <v>0</v>
      </c>
      <c r="K11" s="7">
        <v>0</v>
      </c>
      <c r="L11" s="7">
        <v>0</v>
      </c>
      <c r="M11" s="7">
        <v>0</v>
      </c>
    </row>
    <row r="12" spans="1:13" s="7" customFormat="1" ht="36" customHeight="1" x14ac:dyDescent="0.2">
      <c r="A12" s="21">
        <v>3</v>
      </c>
      <c r="B12" s="22" t="s">
        <v>230</v>
      </c>
      <c r="C12" s="23" t="s">
        <v>231</v>
      </c>
      <c r="D12" s="24" t="s">
        <v>59</v>
      </c>
      <c r="E12" s="7">
        <v>1</v>
      </c>
      <c r="F12" s="7">
        <v>0</v>
      </c>
      <c r="G12" s="7">
        <v>0</v>
      </c>
      <c r="H12" s="7">
        <v>0</v>
      </c>
      <c r="I12" s="7">
        <v>0</v>
      </c>
      <c r="J12" s="7">
        <v>0</v>
      </c>
      <c r="K12" s="7">
        <v>0</v>
      </c>
      <c r="L12" s="7">
        <v>0</v>
      </c>
      <c r="M12" s="7">
        <v>0</v>
      </c>
    </row>
    <row r="13" spans="1:13" s="7" customFormat="1" ht="36" customHeight="1" x14ac:dyDescent="0.2">
      <c r="A13" s="21">
        <v>2</v>
      </c>
      <c r="B13" s="25" t="s">
        <v>232</v>
      </c>
      <c r="C13" s="23" t="s">
        <v>233</v>
      </c>
      <c r="D13" s="26" t="s">
        <v>59</v>
      </c>
      <c r="E13" s="7">
        <v>1</v>
      </c>
      <c r="F13" s="7">
        <v>0</v>
      </c>
      <c r="G13" s="7">
        <v>0</v>
      </c>
      <c r="H13" s="7">
        <v>0</v>
      </c>
      <c r="I13" s="7">
        <v>0</v>
      </c>
      <c r="J13" s="7">
        <v>0</v>
      </c>
      <c r="K13" s="7">
        <v>0</v>
      </c>
      <c r="L13" s="7">
        <v>0</v>
      </c>
      <c r="M13" s="7">
        <v>0</v>
      </c>
    </row>
    <row r="14" spans="1:13" s="7" customFormat="1" ht="36" customHeight="1" x14ac:dyDescent="0.2">
      <c r="A14" s="21">
        <v>2</v>
      </c>
      <c r="B14" s="22" t="s">
        <v>234</v>
      </c>
      <c r="C14" s="23" t="s">
        <v>235</v>
      </c>
      <c r="D14" s="24" t="s">
        <v>68</v>
      </c>
      <c r="E14" s="7">
        <v>0</v>
      </c>
      <c r="F14" s="7">
        <v>1</v>
      </c>
      <c r="G14" s="7">
        <v>0</v>
      </c>
      <c r="H14" s="7">
        <v>0</v>
      </c>
      <c r="I14" s="7">
        <v>0</v>
      </c>
      <c r="J14" s="7">
        <v>0</v>
      </c>
      <c r="K14" s="7">
        <v>0</v>
      </c>
      <c r="L14" s="7">
        <v>0</v>
      </c>
      <c r="M14" s="7">
        <v>0</v>
      </c>
    </row>
    <row r="15" spans="1:13" s="7" customFormat="1" ht="36" customHeight="1" x14ac:dyDescent="0.2">
      <c r="A15" s="21">
        <v>1</v>
      </c>
      <c r="B15" s="25" t="s">
        <v>236</v>
      </c>
      <c r="C15" s="23" t="s">
        <v>237</v>
      </c>
      <c r="D15" s="26" t="s">
        <v>68</v>
      </c>
      <c r="E15" s="7">
        <v>0</v>
      </c>
      <c r="F15" s="7">
        <v>1</v>
      </c>
      <c r="G15" s="7">
        <v>0</v>
      </c>
      <c r="H15" s="7">
        <v>0</v>
      </c>
      <c r="I15" s="7">
        <v>0</v>
      </c>
      <c r="J15" s="7">
        <v>0</v>
      </c>
      <c r="K15" s="7">
        <v>0</v>
      </c>
      <c r="L15" s="7">
        <v>0</v>
      </c>
      <c r="M15" s="7">
        <v>0</v>
      </c>
    </row>
    <row r="16" spans="1:13" s="7" customFormat="1" ht="36" customHeight="1" x14ac:dyDescent="0.2">
      <c r="A16" s="21">
        <v>1</v>
      </c>
      <c r="B16" s="22" t="s">
        <v>238</v>
      </c>
      <c r="C16" s="23" t="s">
        <v>239</v>
      </c>
      <c r="D16" s="24" t="s">
        <v>68</v>
      </c>
      <c r="E16" s="7">
        <v>0</v>
      </c>
      <c r="F16" s="7">
        <v>1</v>
      </c>
      <c r="G16" s="7">
        <v>0</v>
      </c>
      <c r="H16" s="7">
        <v>0</v>
      </c>
      <c r="I16" s="7">
        <v>0</v>
      </c>
      <c r="J16" s="7">
        <v>0</v>
      </c>
      <c r="K16" s="7">
        <v>0</v>
      </c>
      <c r="L16" s="7">
        <v>0</v>
      </c>
      <c r="M16" s="7">
        <v>0</v>
      </c>
    </row>
    <row r="17" spans="1:13" s="7" customFormat="1" ht="36" customHeight="1" x14ac:dyDescent="0.2">
      <c r="A17" s="21">
        <v>1</v>
      </c>
      <c r="B17" s="25" t="s">
        <v>240</v>
      </c>
      <c r="C17" s="23" t="s">
        <v>241</v>
      </c>
      <c r="D17" s="26" t="s">
        <v>68</v>
      </c>
      <c r="E17" s="7">
        <v>0</v>
      </c>
      <c r="F17" s="7">
        <v>1</v>
      </c>
      <c r="G17" s="7">
        <v>0</v>
      </c>
      <c r="H17" s="7">
        <v>0</v>
      </c>
      <c r="I17" s="7">
        <v>0</v>
      </c>
      <c r="J17" s="7">
        <v>0</v>
      </c>
      <c r="K17" s="7">
        <v>0</v>
      </c>
      <c r="L17" s="7">
        <v>0</v>
      </c>
      <c r="M17" s="7">
        <v>0</v>
      </c>
    </row>
    <row r="18" spans="1:13" s="7" customFormat="1" ht="36" customHeight="1" x14ac:dyDescent="0.2">
      <c r="A18" s="21">
        <v>3</v>
      </c>
      <c r="B18" s="22" t="s">
        <v>242</v>
      </c>
      <c r="C18" s="23" t="s">
        <v>243</v>
      </c>
      <c r="D18" s="24" t="s">
        <v>77</v>
      </c>
      <c r="E18" s="7">
        <v>0</v>
      </c>
      <c r="F18" s="7">
        <v>0</v>
      </c>
      <c r="G18" s="7">
        <v>1</v>
      </c>
      <c r="H18" s="7">
        <v>0</v>
      </c>
      <c r="I18" s="7">
        <v>0</v>
      </c>
      <c r="J18" s="7">
        <v>0</v>
      </c>
      <c r="K18" s="7">
        <v>0</v>
      </c>
      <c r="L18" s="7">
        <v>0</v>
      </c>
      <c r="M18" s="7">
        <v>0</v>
      </c>
    </row>
    <row r="19" spans="1:13" s="7" customFormat="1" ht="36" customHeight="1" x14ac:dyDescent="0.2">
      <c r="A19" s="21">
        <v>3</v>
      </c>
      <c r="B19" s="25" t="s">
        <v>244</v>
      </c>
      <c r="C19" s="23" t="s">
        <v>245</v>
      </c>
      <c r="D19" s="26" t="s">
        <v>77</v>
      </c>
      <c r="E19" s="7">
        <v>0</v>
      </c>
      <c r="F19" s="7">
        <v>0</v>
      </c>
      <c r="G19" s="7">
        <v>1</v>
      </c>
      <c r="H19" s="7">
        <v>0</v>
      </c>
      <c r="I19" s="7">
        <v>0</v>
      </c>
      <c r="J19" s="7">
        <v>0</v>
      </c>
      <c r="K19" s="7">
        <v>0</v>
      </c>
      <c r="L19" s="7">
        <v>0</v>
      </c>
      <c r="M19" s="7">
        <v>0</v>
      </c>
    </row>
    <row r="20" spans="1:13" s="7" customFormat="1" ht="36" customHeight="1" x14ac:dyDescent="0.2">
      <c r="A20" s="21">
        <v>4</v>
      </c>
      <c r="B20" s="22" t="s">
        <v>246</v>
      </c>
      <c r="C20" s="23" t="s">
        <v>247</v>
      </c>
      <c r="D20" s="24" t="s">
        <v>77</v>
      </c>
      <c r="E20" s="7">
        <v>0</v>
      </c>
      <c r="F20" s="7">
        <v>0</v>
      </c>
      <c r="G20" s="7">
        <v>1</v>
      </c>
      <c r="H20" s="7">
        <v>0</v>
      </c>
      <c r="I20" s="7">
        <v>0</v>
      </c>
      <c r="J20" s="7">
        <v>0</v>
      </c>
      <c r="K20" s="7">
        <v>0</v>
      </c>
      <c r="L20" s="7">
        <v>0</v>
      </c>
      <c r="M20" s="7">
        <v>0</v>
      </c>
    </row>
    <row r="21" spans="1:13" s="7" customFormat="1" ht="36" customHeight="1" x14ac:dyDescent="0.2">
      <c r="A21" s="21">
        <v>3</v>
      </c>
      <c r="B21" s="25" t="s">
        <v>248</v>
      </c>
      <c r="C21" s="23" t="s">
        <v>249</v>
      </c>
      <c r="D21" s="26" t="s">
        <v>77</v>
      </c>
      <c r="E21" s="7">
        <v>0</v>
      </c>
      <c r="F21" s="7">
        <v>0</v>
      </c>
      <c r="G21" s="7">
        <v>1</v>
      </c>
      <c r="H21" s="7">
        <v>0</v>
      </c>
      <c r="I21" s="7">
        <v>0</v>
      </c>
      <c r="J21" s="7">
        <v>0</v>
      </c>
      <c r="K21" s="7">
        <v>0</v>
      </c>
      <c r="L21" s="7">
        <v>0</v>
      </c>
      <c r="M21" s="7">
        <v>0</v>
      </c>
    </row>
    <row r="22" spans="1:13" s="7" customFormat="1" ht="36" customHeight="1" x14ac:dyDescent="0.2">
      <c r="A22" s="21">
        <v>2</v>
      </c>
      <c r="B22" s="22" t="s">
        <v>250</v>
      </c>
      <c r="C22" s="23" t="s">
        <v>251</v>
      </c>
      <c r="D22" s="24" t="s">
        <v>38</v>
      </c>
      <c r="E22" s="7">
        <v>0</v>
      </c>
      <c r="F22" s="7">
        <v>0</v>
      </c>
      <c r="G22" s="7">
        <v>0</v>
      </c>
      <c r="H22" s="7">
        <v>1</v>
      </c>
      <c r="I22" s="7">
        <v>0</v>
      </c>
      <c r="J22" s="7">
        <v>0</v>
      </c>
      <c r="K22" s="7">
        <v>0</v>
      </c>
      <c r="L22" s="7">
        <v>0</v>
      </c>
      <c r="M22" s="7">
        <v>0</v>
      </c>
    </row>
    <row r="23" spans="1:13" s="7" customFormat="1" ht="36" customHeight="1" x14ac:dyDescent="0.2">
      <c r="A23" s="21">
        <v>1</v>
      </c>
      <c r="B23" s="25" t="s">
        <v>252</v>
      </c>
      <c r="C23" s="23" t="s">
        <v>253</v>
      </c>
      <c r="D23" s="26" t="s">
        <v>38</v>
      </c>
      <c r="E23" s="7">
        <v>0</v>
      </c>
      <c r="F23" s="7">
        <v>0</v>
      </c>
      <c r="G23" s="7">
        <v>0</v>
      </c>
      <c r="H23" s="7">
        <v>1</v>
      </c>
      <c r="I23" s="7">
        <v>0</v>
      </c>
      <c r="J23" s="7">
        <v>0</v>
      </c>
      <c r="K23" s="7">
        <v>0</v>
      </c>
      <c r="L23" s="7">
        <v>0</v>
      </c>
      <c r="M23" s="7">
        <v>0</v>
      </c>
    </row>
    <row r="24" spans="1:13" s="7" customFormat="1" ht="36" customHeight="1" x14ac:dyDescent="0.2">
      <c r="A24" s="21">
        <v>2</v>
      </c>
      <c r="B24" s="22" t="s">
        <v>254</v>
      </c>
      <c r="C24" s="23" t="s">
        <v>255</v>
      </c>
      <c r="D24" s="24" t="s">
        <v>38</v>
      </c>
      <c r="E24" s="7">
        <v>0</v>
      </c>
      <c r="F24" s="7">
        <v>0</v>
      </c>
      <c r="G24" s="7">
        <v>0</v>
      </c>
      <c r="H24" s="7">
        <v>1</v>
      </c>
      <c r="I24" s="7">
        <v>0</v>
      </c>
      <c r="J24" s="7">
        <v>0</v>
      </c>
      <c r="K24" s="7">
        <v>0</v>
      </c>
      <c r="L24" s="7">
        <v>0</v>
      </c>
      <c r="M24" s="7">
        <v>0</v>
      </c>
    </row>
    <row r="25" spans="1:13" s="7" customFormat="1" ht="36" customHeight="1" x14ac:dyDescent="0.2">
      <c r="A25" s="21">
        <v>2</v>
      </c>
      <c r="B25" s="25" t="s">
        <v>256</v>
      </c>
      <c r="C25" s="23" t="s">
        <v>257</v>
      </c>
      <c r="D25" s="26" t="s">
        <v>38</v>
      </c>
      <c r="E25" s="7">
        <v>0</v>
      </c>
      <c r="F25" s="7">
        <v>0</v>
      </c>
      <c r="G25" s="7">
        <v>0</v>
      </c>
      <c r="H25" s="7">
        <v>1</v>
      </c>
      <c r="I25" s="7">
        <v>0</v>
      </c>
      <c r="J25" s="7">
        <v>0</v>
      </c>
      <c r="K25" s="7">
        <v>0</v>
      </c>
      <c r="L25" s="7">
        <v>0</v>
      </c>
      <c r="M25" s="7">
        <v>0</v>
      </c>
    </row>
    <row r="26" spans="1:13" s="7" customFormat="1" ht="36" customHeight="1" x14ac:dyDescent="0.2">
      <c r="A26" s="21">
        <v>3</v>
      </c>
      <c r="B26" s="22" t="s">
        <v>258</v>
      </c>
      <c r="C26" s="23" t="s">
        <v>259</v>
      </c>
      <c r="D26" s="24" t="s">
        <v>94</v>
      </c>
      <c r="E26" s="7">
        <v>0</v>
      </c>
      <c r="F26" s="7">
        <v>0</v>
      </c>
      <c r="G26" s="7">
        <v>0</v>
      </c>
      <c r="H26" s="7">
        <v>0</v>
      </c>
      <c r="I26" s="7">
        <v>1</v>
      </c>
      <c r="J26" s="7">
        <v>0</v>
      </c>
      <c r="K26" s="7">
        <v>0</v>
      </c>
      <c r="L26" s="7">
        <v>0</v>
      </c>
      <c r="M26" s="7">
        <v>0</v>
      </c>
    </row>
    <row r="27" spans="1:13" s="7" customFormat="1" ht="36" customHeight="1" x14ac:dyDescent="0.2">
      <c r="A27" s="21">
        <v>2</v>
      </c>
      <c r="B27" s="25" t="s">
        <v>260</v>
      </c>
      <c r="C27" s="23" t="s">
        <v>261</v>
      </c>
      <c r="D27" s="26" t="s">
        <v>94</v>
      </c>
      <c r="E27" s="7">
        <v>0</v>
      </c>
      <c r="F27" s="7">
        <v>0</v>
      </c>
      <c r="G27" s="7">
        <v>0</v>
      </c>
      <c r="H27" s="7">
        <v>0</v>
      </c>
      <c r="I27" s="7">
        <v>1</v>
      </c>
      <c r="J27" s="7">
        <v>0</v>
      </c>
      <c r="K27" s="7">
        <v>0</v>
      </c>
      <c r="L27" s="7">
        <v>0</v>
      </c>
      <c r="M27" s="7">
        <v>0</v>
      </c>
    </row>
    <row r="28" spans="1:13" s="7" customFormat="1" ht="36" customHeight="1" x14ac:dyDescent="0.2">
      <c r="A28" s="21">
        <v>3</v>
      </c>
      <c r="B28" s="22" t="s">
        <v>262</v>
      </c>
      <c r="C28" s="23" t="s">
        <v>263</v>
      </c>
      <c r="D28" s="24" t="s">
        <v>94</v>
      </c>
      <c r="E28" s="7">
        <v>0</v>
      </c>
      <c r="F28" s="7">
        <v>0</v>
      </c>
      <c r="G28" s="7">
        <v>0</v>
      </c>
      <c r="H28" s="7">
        <v>0</v>
      </c>
      <c r="I28" s="7">
        <v>1</v>
      </c>
      <c r="J28" s="7">
        <v>0</v>
      </c>
      <c r="K28" s="7">
        <v>0</v>
      </c>
      <c r="L28" s="7">
        <v>0</v>
      </c>
      <c r="M28" s="7">
        <v>0</v>
      </c>
    </row>
    <row r="29" spans="1:13" s="7" customFormat="1" ht="36" customHeight="1" x14ac:dyDescent="0.2">
      <c r="A29" s="21">
        <v>2</v>
      </c>
      <c r="B29" s="25" t="s">
        <v>264</v>
      </c>
      <c r="C29" s="23" t="s">
        <v>265</v>
      </c>
      <c r="D29" s="26" t="s">
        <v>94</v>
      </c>
      <c r="E29" s="7">
        <v>0</v>
      </c>
      <c r="F29" s="7">
        <v>0</v>
      </c>
      <c r="G29" s="7">
        <v>0</v>
      </c>
      <c r="H29" s="7">
        <v>0</v>
      </c>
      <c r="I29" s="7">
        <v>1</v>
      </c>
      <c r="J29" s="7">
        <v>0</v>
      </c>
      <c r="K29" s="7">
        <v>0</v>
      </c>
      <c r="L29" s="7">
        <v>0</v>
      </c>
      <c r="M29" s="7">
        <v>0</v>
      </c>
    </row>
    <row r="30" spans="1:13" s="7" customFormat="1" ht="36" customHeight="1" x14ac:dyDescent="0.2">
      <c r="A30" s="21">
        <v>2</v>
      </c>
      <c r="B30" s="22" t="s">
        <v>266</v>
      </c>
      <c r="C30" s="23" t="s">
        <v>267</v>
      </c>
      <c r="D30" s="24" t="s">
        <v>40</v>
      </c>
      <c r="E30" s="7">
        <v>0</v>
      </c>
      <c r="F30" s="7">
        <v>0</v>
      </c>
      <c r="G30" s="7">
        <v>0</v>
      </c>
      <c r="H30" s="7">
        <v>0</v>
      </c>
      <c r="I30" s="7">
        <v>0</v>
      </c>
      <c r="J30" s="7">
        <v>1</v>
      </c>
      <c r="K30" s="7">
        <v>0</v>
      </c>
      <c r="L30" s="7">
        <v>0</v>
      </c>
      <c r="M30" s="7">
        <v>0</v>
      </c>
    </row>
    <row r="31" spans="1:13" s="7" customFormat="1" ht="36" customHeight="1" x14ac:dyDescent="0.2">
      <c r="A31" s="21">
        <v>3</v>
      </c>
      <c r="B31" s="25" t="s">
        <v>268</v>
      </c>
      <c r="C31" s="23" t="s">
        <v>269</v>
      </c>
      <c r="D31" s="26" t="s">
        <v>40</v>
      </c>
      <c r="E31" s="7">
        <v>0</v>
      </c>
      <c r="F31" s="7">
        <v>0</v>
      </c>
      <c r="G31" s="7">
        <v>0</v>
      </c>
      <c r="H31" s="7">
        <v>0</v>
      </c>
      <c r="I31" s="7">
        <v>0</v>
      </c>
      <c r="J31" s="7">
        <v>1</v>
      </c>
      <c r="K31" s="7">
        <v>0</v>
      </c>
      <c r="L31" s="7">
        <v>0</v>
      </c>
      <c r="M31" s="7">
        <v>0</v>
      </c>
    </row>
    <row r="32" spans="1:13" s="7" customFormat="1" ht="36" customHeight="1" x14ac:dyDescent="0.2">
      <c r="A32" s="21">
        <v>4</v>
      </c>
      <c r="B32" s="22" t="s">
        <v>270</v>
      </c>
      <c r="C32" s="23" t="s">
        <v>271</v>
      </c>
      <c r="D32" s="24" t="s">
        <v>40</v>
      </c>
      <c r="E32" s="7">
        <v>0</v>
      </c>
      <c r="F32" s="7">
        <v>0</v>
      </c>
      <c r="G32" s="7">
        <v>0</v>
      </c>
      <c r="H32" s="7">
        <v>0</v>
      </c>
      <c r="I32" s="7">
        <v>0</v>
      </c>
      <c r="J32" s="7">
        <v>1</v>
      </c>
      <c r="K32" s="7">
        <v>0</v>
      </c>
      <c r="L32" s="7">
        <v>0</v>
      </c>
      <c r="M32" s="7">
        <v>0</v>
      </c>
    </row>
    <row r="33" spans="1:13" s="7" customFormat="1" ht="36" customHeight="1" x14ac:dyDescent="0.2">
      <c r="A33" s="21">
        <v>4</v>
      </c>
      <c r="B33" s="25" t="s">
        <v>272</v>
      </c>
      <c r="C33" s="23" t="s">
        <v>273</v>
      </c>
      <c r="D33" s="26" t="s">
        <v>40</v>
      </c>
      <c r="E33" s="7">
        <v>0</v>
      </c>
      <c r="F33" s="7">
        <v>0</v>
      </c>
      <c r="G33" s="7">
        <v>0</v>
      </c>
      <c r="H33" s="7">
        <v>0</v>
      </c>
      <c r="I33" s="7">
        <v>0</v>
      </c>
      <c r="J33" s="7">
        <v>1</v>
      </c>
      <c r="K33" s="7">
        <v>0</v>
      </c>
      <c r="L33" s="7">
        <v>0</v>
      </c>
      <c r="M33" s="7">
        <v>0</v>
      </c>
    </row>
    <row r="34" spans="1:13" s="7" customFormat="1" ht="36" customHeight="1" x14ac:dyDescent="0.2">
      <c r="A34" s="21">
        <v>3</v>
      </c>
      <c r="B34" s="22" t="s">
        <v>274</v>
      </c>
      <c r="C34" s="23" t="s">
        <v>275</v>
      </c>
      <c r="D34" s="24" t="s">
        <v>41</v>
      </c>
      <c r="E34" s="7">
        <v>0</v>
      </c>
      <c r="F34" s="7">
        <v>0</v>
      </c>
      <c r="G34" s="7">
        <v>0</v>
      </c>
      <c r="H34" s="7">
        <v>0</v>
      </c>
      <c r="I34" s="7">
        <v>0</v>
      </c>
      <c r="J34" s="7">
        <v>0</v>
      </c>
      <c r="K34" s="7">
        <v>1</v>
      </c>
      <c r="L34" s="7">
        <v>0</v>
      </c>
      <c r="M34" s="7">
        <v>0</v>
      </c>
    </row>
    <row r="35" spans="1:13" s="7" customFormat="1" ht="36" customHeight="1" x14ac:dyDescent="0.2">
      <c r="A35" s="21">
        <v>3</v>
      </c>
      <c r="B35" s="25" t="s">
        <v>276</v>
      </c>
      <c r="C35" s="23" t="s">
        <v>277</v>
      </c>
      <c r="D35" s="26" t="s">
        <v>41</v>
      </c>
      <c r="E35" s="7">
        <v>0</v>
      </c>
      <c r="F35" s="7">
        <v>0</v>
      </c>
      <c r="G35" s="7">
        <v>0</v>
      </c>
      <c r="H35" s="7">
        <v>0</v>
      </c>
      <c r="I35" s="7">
        <v>0</v>
      </c>
      <c r="J35" s="7">
        <v>0</v>
      </c>
      <c r="K35" s="7">
        <v>1</v>
      </c>
      <c r="L35" s="7">
        <v>0</v>
      </c>
      <c r="M35" s="7">
        <v>0</v>
      </c>
    </row>
    <row r="36" spans="1:13" s="7" customFormat="1" ht="36" customHeight="1" x14ac:dyDescent="0.2">
      <c r="A36" s="21">
        <v>3</v>
      </c>
      <c r="B36" s="22" t="s">
        <v>278</v>
      </c>
      <c r="C36" s="23" t="s">
        <v>279</v>
      </c>
      <c r="D36" s="24" t="s">
        <v>41</v>
      </c>
      <c r="E36" s="7">
        <v>0</v>
      </c>
      <c r="F36" s="7">
        <v>0</v>
      </c>
      <c r="G36" s="7">
        <v>0</v>
      </c>
      <c r="H36" s="7">
        <v>0</v>
      </c>
      <c r="I36" s="7">
        <v>0</v>
      </c>
      <c r="J36" s="7">
        <v>0</v>
      </c>
      <c r="K36" s="7">
        <v>1</v>
      </c>
      <c r="L36" s="7">
        <v>0</v>
      </c>
      <c r="M36" s="7">
        <v>0</v>
      </c>
    </row>
    <row r="37" spans="1:13" s="7" customFormat="1" ht="36" customHeight="1" x14ac:dyDescent="0.2">
      <c r="A37" s="21">
        <v>2</v>
      </c>
      <c r="B37" s="25" t="s">
        <v>280</v>
      </c>
      <c r="C37" s="23" t="s">
        <v>281</v>
      </c>
      <c r="D37" s="26" t="s">
        <v>41</v>
      </c>
      <c r="E37" s="7">
        <v>0</v>
      </c>
      <c r="F37" s="7">
        <v>0</v>
      </c>
      <c r="G37" s="7">
        <v>0</v>
      </c>
      <c r="H37" s="7">
        <v>0</v>
      </c>
      <c r="I37" s="7">
        <v>0</v>
      </c>
      <c r="J37" s="7">
        <v>0</v>
      </c>
      <c r="K37" s="7">
        <v>1</v>
      </c>
      <c r="L37" s="7">
        <v>0</v>
      </c>
      <c r="M37" s="7">
        <v>0</v>
      </c>
    </row>
    <row r="38" spans="1:13" s="7" customFormat="1" ht="36" customHeight="1" x14ac:dyDescent="0.2">
      <c r="A38" s="21">
        <v>2</v>
      </c>
      <c r="B38" s="22" t="s">
        <v>282</v>
      </c>
      <c r="C38" s="23" t="s">
        <v>283</v>
      </c>
      <c r="D38" s="24" t="s">
        <v>119</v>
      </c>
      <c r="E38" s="7">
        <v>0</v>
      </c>
      <c r="F38" s="7">
        <v>0</v>
      </c>
      <c r="G38" s="7">
        <v>0</v>
      </c>
      <c r="H38" s="7">
        <v>0</v>
      </c>
      <c r="I38" s="7">
        <v>0</v>
      </c>
      <c r="J38" s="7">
        <v>0</v>
      </c>
      <c r="K38" s="7">
        <v>0</v>
      </c>
      <c r="L38" s="7">
        <v>1</v>
      </c>
      <c r="M38" s="7">
        <v>0</v>
      </c>
    </row>
    <row r="39" spans="1:13" s="7" customFormat="1" ht="36" customHeight="1" x14ac:dyDescent="0.2">
      <c r="A39" s="21">
        <v>2</v>
      </c>
      <c r="B39" s="25" t="s">
        <v>284</v>
      </c>
      <c r="C39" s="23" t="s">
        <v>285</v>
      </c>
      <c r="D39" s="26" t="s">
        <v>119</v>
      </c>
      <c r="E39" s="7">
        <v>0</v>
      </c>
      <c r="F39" s="7">
        <v>0</v>
      </c>
      <c r="G39" s="7">
        <v>0</v>
      </c>
      <c r="H39" s="7">
        <v>0</v>
      </c>
      <c r="I39" s="7">
        <v>0</v>
      </c>
      <c r="J39" s="7">
        <v>0</v>
      </c>
      <c r="K39" s="7">
        <v>0</v>
      </c>
      <c r="L39" s="7">
        <v>1</v>
      </c>
      <c r="M39" s="7">
        <v>0</v>
      </c>
    </row>
    <row r="40" spans="1:13" s="7" customFormat="1" ht="36" customHeight="1" x14ac:dyDescent="0.2">
      <c r="A40" s="21">
        <v>2</v>
      </c>
      <c r="B40" s="22" t="s">
        <v>286</v>
      </c>
      <c r="C40" s="23" t="s">
        <v>287</v>
      </c>
      <c r="D40" s="24" t="s">
        <v>119</v>
      </c>
      <c r="E40" s="7">
        <v>0</v>
      </c>
      <c r="F40" s="7">
        <v>0</v>
      </c>
      <c r="G40" s="7">
        <v>0</v>
      </c>
      <c r="H40" s="7">
        <v>0</v>
      </c>
      <c r="I40" s="7">
        <v>0</v>
      </c>
      <c r="J40" s="7">
        <v>0</v>
      </c>
      <c r="K40" s="7">
        <v>0</v>
      </c>
      <c r="L40" s="7">
        <v>1</v>
      </c>
      <c r="M40" s="7">
        <v>0</v>
      </c>
    </row>
    <row r="41" spans="1:13" s="7" customFormat="1" ht="36" customHeight="1" x14ac:dyDescent="0.2">
      <c r="A41" s="21">
        <v>2</v>
      </c>
      <c r="B41" s="25" t="s">
        <v>288</v>
      </c>
      <c r="C41" s="23" t="s">
        <v>289</v>
      </c>
      <c r="D41" s="26" t="s">
        <v>119</v>
      </c>
      <c r="E41" s="7">
        <v>0</v>
      </c>
      <c r="F41" s="7">
        <v>0</v>
      </c>
      <c r="G41" s="7">
        <v>0</v>
      </c>
      <c r="H41" s="7">
        <v>0</v>
      </c>
      <c r="I41" s="7">
        <v>0</v>
      </c>
      <c r="J41" s="7">
        <v>0</v>
      </c>
      <c r="K41" s="7">
        <v>0</v>
      </c>
      <c r="L41" s="7">
        <v>1</v>
      </c>
      <c r="M41" s="7">
        <v>0</v>
      </c>
    </row>
    <row r="42" spans="1:13" s="7" customFormat="1" ht="36" customHeight="1" x14ac:dyDescent="0.2">
      <c r="A42" s="21">
        <v>1</v>
      </c>
      <c r="B42" s="22" t="s">
        <v>290</v>
      </c>
      <c r="C42" s="23" t="s">
        <v>291</v>
      </c>
      <c r="D42" s="24" t="s">
        <v>43</v>
      </c>
      <c r="E42" s="7">
        <v>0</v>
      </c>
      <c r="F42" s="7">
        <v>0</v>
      </c>
      <c r="G42" s="7">
        <v>0</v>
      </c>
      <c r="H42" s="7">
        <v>0</v>
      </c>
      <c r="I42" s="7">
        <v>0</v>
      </c>
      <c r="J42" s="7">
        <v>0</v>
      </c>
      <c r="K42" s="7">
        <v>0</v>
      </c>
      <c r="L42" s="7">
        <v>0</v>
      </c>
      <c r="M42" s="7">
        <v>1</v>
      </c>
    </row>
    <row r="43" spans="1:13" s="7" customFormat="1" ht="36" customHeight="1" x14ac:dyDescent="0.2">
      <c r="A43" s="21">
        <v>1</v>
      </c>
      <c r="B43" s="25" t="s">
        <v>292</v>
      </c>
      <c r="C43" s="23" t="s">
        <v>293</v>
      </c>
      <c r="D43" s="26" t="s">
        <v>43</v>
      </c>
      <c r="E43" s="7">
        <v>0</v>
      </c>
      <c r="F43" s="7">
        <v>0</v>
      </c>
      <c r="G43" s="7">
        <v>0</v>
      </c>
      <c r="H43" s="7">
        <v>0</v>
      </c>
      <c r="I43" s="7">
        <v>0</v>
      </c>
      <c r="J43" s="7">
        <v>0</v>
      </c>
      <c r="K43" s="7">
        <v>0</v>
      </c>
      <c r="L43" s="7">
        <v>0</v>
      </c>
      <c r="M43" s="7">
        <v>1</v>
      </c>
    </row>
    <row r="44" spans="1:13" s="7" customFormat="1" ht="36" customHeight="1" x14ac:dyDescent="0.2">
      <c r="A44" s="21">
        <v>1</v>
      </c>
      <c r="B44" s="22" t="s">
        <v>294</v>
      </c>
      <c r="C44" s="23" t="s">
        <v>295</v>
      </c>
      <c r="D44" s="24" t="s">
        <v>43</v>
      </c>
      <c r="E44" s="7">
        <v>0</v>
      </c>
      <c r="F44" s="7">
        <v>0</v>
      </c>
      <c r="G44" s="7">
        <v>0</v>
      </c>
      <c r="H44" s="7">
        <v>0</v>
      </c>
      <c r="I44" s="7">
        <v>0</v>
      </c>
      <c r="J44" s="7">
        <v>0</v>
      </c>
      <c r="K44" s="7">
        <v>0</v>
      </c>
      <c r="L44" s="7">
        <v>0</v>
      </c>
      <c r="M44" s="7">
        <v>1</v>
      </c>
    </row>
    <row r="45" spans="1:13" s="7" customFormat="1" ht="36" customHeight="1" x14ac:dyDescent="0.2">
      <c r="A45" s="21">
        <v>1</v>
      </c>
      <c r="B45" s="25" t="s">
        <v>296</v>
      </c>
      <c r="C45" s="23" t="s">
        <v>297</v>
      </c>
      <c r="D45" s="26" t="s">
        <v>43</v>
      </c>
      <c r="E45" s="7">
        <v>0</v>
      </c>
      <c r="F45" s="7">
        <v>0</v>
      </c>
      <c r="G45" s="7">
        <v>0</v>
      </c>
      <c r="H45" s="7">
        <v>0</v>
      </c>
      <c r="I45" s="7">
        <v>0</v>
      </c>
      <c r="J45" s="7">
        <v>0</v>
      </c>
      <c r="K45" s="7">
        <v>0</v>
      </c>
      <c r="L45" s="7">
        <v>0</v>
      </c>
      <c r="M45" s="7">
        <v>1</v>
      </c>
    </row>
    <row r="46" spans="1:13" ht="21.75" customHeight="1" x14ac:dyDescent="0.2">
      <c r="A46" s="191" t="s">
        <v>298</v>
      </c>
      <c r="B46" s="191"/>
      <c r="C46" s="191"/>
      <c r="D46" s="191"/>
      <c r="E46" s="191"/>
      <c r="F46" s="191"/>
      <c r="G46" s="191"/>
      <c r="H46" s="191"/>
    </row>
    <row r="47" spans="1:13" s="7" customFormat="1" ht="21.75" customHeight="1" x14ac:dyDescent="0.2">
      <c r="A47" s="56" t="s">
        <v>44</v>
      </c>
      <c r="B47" s="57" t="s">
        <v>299</v>
      </c>
      <c r="C47" s="57" t="s">
        <v>46</v>
      </c>
      <c r="D47" s="58" t="s">
        <v>300</v>
      </c>
    </row>
    <row r="48" spans="1:13" s="7" customFormat="1" ht="21.75" customHeight="1" x14ac:dyDescent="0.2">
      <c r="A48" s="59"/>
      <c r="B48" s="60" t="s">
        <v>301</v>
      </c>
      <c r="C48" s="61" t="s">
        <v>302</v>
      </c>
      <c r="D48" s="62" t="s">
        <v>303</v>
      </c>
    </row>
    <row r="49" spans="1:13" s="7" customFormat="1" ht="21.75" customHeight="1" x14ac:dyDescent="0.2">
      <c r="A49" s="59"/>
      <c r="B49" s="60" t="s">
        <v>304</v>
      </c>
      <c r="C49" s="61" t="s">
        <v>305</v>
      </c>
      <c r="D49" s="62" t="s">
        <v>306</v>
      </c>
    </row>
    <row r="50" spans="1:13" ht="21.75" customHeight="1" x14ac:dyDescent="0.2">
      <c r="A50" s="2" t="s">
        <v>307</v>
      </c>
      <c r="B50" s="63" t="e">
        <f>AVERAGE(A48:A49)</f>
        <v>#DIV/0!</v>
      </c>
      <c r="D50" s="64"/>
    </row>
    <row r="51" spans="1:13" ht="21.75" customHeight="1" x14ac:dyDescent="0.2">
      <c r="B51" s="65"/>
    </row>
    <row r="52" spans="1:13" ht="21.75" customHeight="1" x14ac:dyDescent="0.2">
      <c r="A52" s="192" t="s">
        <v>134</v>
      </c>
      <c r="B52" s="192"/>
      <c r="C52" s="192"/>
      <c r="D52" s="192"/>
      <c r="E52" s="192"/>
      <c r="F52" s="192"/>
      <c r="G52" s="192"/>
      <c r="H52" s="192"/>
      <c r="I52" s="192"/>
      <c r="J52" s="192"/>
      <c r="K52" s="192"/>
      <c r="L52" s="192"/>
      <c r="M52" s="192"/>
    </row>
    <row r="53" spans="1:13" ht="21.75" customHeight="1" x14ac:dyDescent="0.2">
      <c r="A53" s="66" t="s">
        <v>135</v>
      </c>
      <c r="B53" s="67" t="s">
        <v>136</v>
      </c>
      <c r="C53" s="66" t="s">
        <v>137</v>
      </c>
    </row>
    <row r="54" spans="1:13" ht="21.75" customHeight="1" x14ac:dyDescent="0.2">
      <c r="A54" s="28" t="s">
        <v>35</v>
      </c>
      <c r="B54" s="68">
        <f>ROUND((SUMPRODUCT($A$10:$A$45,$E$10:$E$45))/(4*SUM($E$10:$E$45))*100,0)</f>
        <v>69</v>
      </c>
      <c r="C54" s="69" t="str">
        <f>IF(B54="","",IF(B54&gt;=Admin_Settings!$B$3,Admin_Settings!$B$7,IF(B54&gt;=Admin_Settings!$B$4,Admin_Settings!$B$8,IF(B54&gt;=Admin_Settings!$B$5,Admin_Settings!$B$9,IF(B54&gt;=Admin_Settings!$B$6,Admin_Settings!$B$10,Admin_Settings!$B$11)))))</f>
        <v>Moderate Fit</v>
      </c>
    </row>
    <row r="55" spans="1:13" ht="21.75" customHeight="1" x14ac:dyDescent="0.2">
      <c r="A55" s="31" t="s">
        <v>68</v>
      </c>
      <c r="B55" s="70">
        <f>ROUND((SUMPRODUCT($A$10:$A$45,$F$10:$F$45))/(4*SUM($F$10:$F$45))*100,0)</f>
        <v>31</v>
      </c>
      <c r="C55" s="69" t="str">
        <f>IF(B55="","",IF(B55&gt;=Admin_Settings!$B$3,Admin_Settings!$B$7,IF(B55&gt;=Admin_Settings!$B$4,Admin_Settings!$B$8,IF(B55&gt;=Admin_Settings!$B$5,Admin_Settings!$B$9,IF(B55&gt;=Admin_Settings!$B$6,Admin_Settings!$B$10,Admin_Settings!$B$11)))))</f>
        <v>Low Fit</v>
      </c>
    </row>
    <row r="56" spans="1:13" ht="21.75" customHeight="1" x14ac:dyDescent="0.2">
      <c r="A56" s="33" t="s">
        <v>77</v>
      </c>
      <c r="B56" s="71">
        <f>ROUND((SUMPRODUCT($A$10:$A$45,$G$10:$G$45))/(4*SUM($G$10:$G$45))*100,0)</f>
        <v>81</v>
      </c>
      <c r="C56" s="69" t="str">
        <f>IF(B56="","",IF(B56&gt;=Admin_Settings!$B$3,Admin_Settings!$B$7,IF(B56&gt;=Admin_Settings!$B$4,Admin_Settings!$B$8,IF(B56&gt;=Admin_Settings!$B$5,Admin_Settings!$B$9,IF(B56&gt;=Admin_Settings!$B$6,Admin_Settings!$B$10,Admin_Settings!$B$11)))))</f>
        <v>Strong Fit</v>
      </c>
    </row>
    <row r="57" spans="1:13" ht="21.75" customHeight="1" x14ac:dyDescent="0.2">
      <c r="A57" s="35" t="s">
        <v>38</v>
      </c>
      <c r="B57" s="72">
        <f>ROUND((SUMPRODUCT($A$10:$A$45,$H$10:$H$45))/(4*SUM($H$10:$H$45))*100,0)</f>
        <v>44</v>
      </c>
      <c r="C57" s="69" t="str">
        <f>IF(B57="","",IF(B57&gt;=Admin_Settings!$B$3,Admin_Settings!$B$7,IF(B57&gt;=Admin_Settings!$B$4,Admin_Settings!$B$8,IF(B57&gt;=Admin_Settings!$B$5,Admin_Settings!$B$9,IF(B57&gt;=Admin_Settings!$B$6,Admin_Settings!$B$10,Admin_Settings!$B$11)))))</f>
        <v>Emerging Fit</v>
      </c>
    </row>
    <row r="58" spans="1:13" ht="21.75" customHeight="1" x14ac:dyDescent="0.2">
      <c r="A58" s="37" t="s">
        <v>39</v>
      </c>
      <c r="B58" s="73">
        <f>ROUND((SUMPRODUCT($A$10:$A$45,$I$10:$I$45))/(4*SUM($I$10:$I$45))*100,0)</f>
        <v>63</v>
      </c>
      <c r="C58" s="69" t="str">
        <f>IF(B58="","",IF(B58&gt;=Admin_Settings!$B$3,Admin_Settings!$B$7,IF(B58&gt;=Admin_Settings!$B$4,Admin_Settings!$B$8,IF(B58&gt;=Admin_Settings!$B$5,Admin_Settings!$B$9,IF(B58&gt;=Admin_Settings!$B$6,Admin_Settings!$B$10,Admin_Settings!$B$11)))))</f>
        <v>Moderate Fit</v>
      </c>
    </row>
    <row r="59" spans="1:13" ht="21.75" customHeight="1" x14ac:dyDescent="0.2">
      <c r="A59" s="39" t="s">
        <v>139</v>
      </c>
      <c r="B59" s="74">
        <f>ROUND((SUMPRODUCT($A$10:$A$45,$J$10:$J$45))/(4*SUM($J$10:$J$45))*100,0)</f>
        <v>81</v>
      </c>
      <c r="C59" s="69" t="str">
        <f>IF(B59="","",IF(B59&gt;=Admin_Settings!$B$3,Admin_Settings!$B$7,IF(B59&gt;=Admin_Settings!$B$4,Admin_Settings!$B$8,IF(B59&gt;=Admin_Settings!$B$5,Admin_Settings!$B$9,IF(B59&gt;=Admin_Settings!$B$6,Admin_Settings!$B$10,Admin_Settings!$B$11)))))</f>
        <v>Strong Fit</v>
      </c>
    </row>
    <row r="60" spans="1:13" ht="21.75" customHeight="1" x14ac:dyDescent="0.2">
      <c r="A60" s="41" t="s">
        <v>41</v>
      </c>
      <c r="B60" s="75">
        <f>ROUND((SUMPRODUCT($A$10:$A$45,$K$10:$K$45))/(4*SUM($K$10:$K$45))*100,0)</f>
        <v>69</v>
      </c>
      <c r="C60" s="69" t="str">
        <f>IF(B60="","",IF(B60&gt;=Admin_Settings!$B$3,Admin_Settings!$B$7,IF(B60&gt;=Admin_Settings!$B$4,Admin_Settings!$B$8,IF(B60&gt;=Admin_Settings!$B$5,Admin_Settings!$B$9,IF(B60&gt;=Admin_Settings!$B$6,Admin_Settings!$B$10,Admin_Settings!$B$11)))))</f>
        <v>Moderate Fit</v>
      </c>
    </row>
    <row r="61" spans="1:13" ht="21.75" customHeight="1" x14ac:dyDescent="0.2">
      <c r="A61" s="43" t="s">
        <v>119</v>
      </c>
      <c r="B61" s="76">
        <f>ROUND((SUMPRODUCT($A$10:$A$45,$L$10:$L$45))/(4*SUM($L$10:$L$45))*100,0)</f>
        <v>50</v>
      </c>
      <c r="C61" s="69" t="str">
        <f>IF(B61="","",IF(B61&gt;=Admin_Settings!$B$3,Admin_Settings!$B$7,IF(B61&gt;=Admin_Settings!$B$4,Admin_Settings!$B$8,IF(B61&gt;=Admin_Settings!$B$5,Admin_Settings!$B$9,IF(B61&gt;=Admin_Settings!$B$6,Admin_Settings!$B$10,Admin_Settings!$B$11)))))</f>
        <v>Emerging Fit</v>
      </c>
    </row>
    <row r="62" spans="1:13" ht="21.75" customHeight="1" x14ac:dyDescent="0.2">
      <c r="A62" s="33" t="s">
        <v>43</v>
      </c>
      <c r="B62" s="71">
        <f>ROUND((SUMPRODUCT($A$10:$A$45,$M$10:$M$45))/(4*SUM($M$10:$M$45))*100,0)</f>
        <v>25</v>
      </c>
      <c r="C62" s="69" t="str">
        <f>IF(B62="","",IF(B62&gt;=Admin_Settings!$B$3,Admin_Settings!$B$7,IF(B62&gt;=Admin_Settings!$B$4,Admin_Settings!$B$8,IF(B62&gt;=Admin_Settings!$B$5,Admin_Settings!$B$9,IF(B62&gt;=Admin_Settings!$B$6,Admin_Settings!$B$10,Admin_Settings!$B$11)))))</f>
        <v>Low Fit</v>
      </c>
    </row>
  </sheetData>
  <sheetProtection sheet="1" formatColumns="0" formatRows="0"/>
  <mergeCells count="3">
    <mergeCell ref="A8:B8"/>
    <mergeCell ref="A46:H46"/>
    <mergeCell ref="A52:M52"/>
  </mergeCells>
  <conditionalFormatting sqref="A10:A45">
    <cfRule type="cellIs" dxfId="29" priority="16" operator="between">
      <formula>1</formula>
      <formula>4</formula>
    </cfRule>
  </conditionalFormatting>
  <conditionalFormatting sqref="B54:B62">
    <cfRule type="dataBar" priority="15">
      <dataBar>
        <cfvo type="num" val="0"/>
        <cfvo type="num" val="100"/>
        <color rgb="FF63BE7B"/>
      </dataBar>
      <extLst>
        <ext xmlns:x14="http://schemas.microsoft.com/office/spreadsheetml/2009/9/main" uri="{B025F937-C7B1-47D3-B67F-A62EFF666E3E}">
          <x14:id>{4EE5472A-7D39-4E70-914B-AEEF7E4F2990}</x14:id>
        </ext>
      </extLst>
    </cfRule>
  </conditionalFormatting>
  <conditionalFormatting sqref="C8">
    <cfRule type="dataBar" priority="10">
      <dataBar>
        <cfvo type="num" val="0"/>
        <cfvo type="num" val="100"/>
        <color rgb="FF63C384"/>
      </dataBar>
      <extLst>
        <ext xmlns:x14="http://schemas.microsoft.com/office/spreadsheetml/2009/9/main" uri="{B025F937-C7B1-47D3-B67F-A62EFF666E3E}">
          <x14:id>{9DB4E3B3-4670-4E40-A190-93D9DC459236}</x14:id>
        </ext>
      </extLst>
    </cfRule>
  </conditionalFormatting>
  <conditionalFormatting sqref="C54:C62">
    <cfRule type="containsText" dxfId="28" priority="11" operator="containsText" text="Moderate Fit">
      <formula>NOT(ISERROR(SEARCH("Moderate Fit",C54)))</formula>
    </cfRule>
    <cfRule type="containsText" dxfId="27" priority="12" operator="containsText" text="Emerging Fit">
      <formula>NOT(ISERROR(SEARCH("Emerging Fit",C54)))</formula>
    </cfRule>
    <cfRule type="containsText" dxfId="26" priority="13" operator="containsText" text="Low Fit">
      <formula>NOT(ISERROR(SEARCH("Low Fit",C54)))</formula>
    </cfRule>
    <cfRule type="containsText" dxfId="25" priority="14" operator="containsText" text="Strong Fit">
      <formula>NOT(ISERROR(SEARCH("Strong Fit",C54)))</formula>
    </cfRule>
  </conditionalFormatting>
  <conditionalFormatting sqref="D8">
    <cfRule type="expression" dxfId="24" priority="7">
      <formula>C8&lt;55</formula>
    </cfRule>
    <cfRule type="expression" dxfId="23" priority="8">
      <formula>AND(C8&gt;=55,C8&lt;70)</formula>
    </cfRule>
    <cfRule type="expression" dxfId="22" priority="9">
      <formula>C8&gt;=70</formula>
    </cfRule>
  </conditionalFormatting>
  <conditionalFormatting sqref="D61:D63">
    <cfRule type="containsText" dxfId="21" priority="2" operator="containsText" text="Very Strong Fit">
      <formula>NOT(ISERROR(SEARCH("Very Strong Fit",D61)))</formula>
    </cfRule>
    <cfRule type="containsText" dxfId="20" priority="3" operator="containsText" text="Strong Fit">
      <formula>NOT(ISERROR(SEARCH("Strong Fit",D61)))</formula>
    </cfRule>
    <cfRule type="containsText" dxfId="19" priority="4" operator="containsText" text="Moderate Fit">
      <formula>NOT(ISERROR(SEARCH("Moderate Fit",D61)))</formula>
    </cfRule>
    <cfRule type="containsText" dxfId="18" priority="5" operator="containsText" text="Emerging Fit">
      <formula>NOT(ISERROR(SEARCH("Emerging Fit",D61)))</formula>
    </cfRule>
    <cfRule type="containsText" dxfId="17" priority="6" operator="containsText" text="Low Fit">
      <formula>NOT(ISERROR(SEARCH("Low Fit",D61)))</formula>
    </cfRule>
  </conditionalFormatting>
  <dataValidations count="1">
    <dataValidation type="list" allowBlank="1" showInputMessage="1" showErrorMessage="1" errorTitle="Invalid entry" error="Please select 1, 2, 3, or 4 from the dropdown." promptTitle="Rating (1–4)" prompt="1 = Not like me_x000a_2 = A little like me_x000a_3 = Mostly like me_x000a_4 = Very like me" sqref="A10:A45" xr:uid="{00000000-0002-0000-0300-000000000000}">
      <formula1>"1,2,3,4"</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4EE5472A-7D39-4E70-914B-AEEF7E4F2990}">
            <x14:dataBar axisPosition="none">
              <x14:cfvo type="num">
                <xm:f>0</xm:f>
              </x14:cfvo>
              <x14:cfvo type="num">
                <xm:f>100</xm:f>
              </x14:cfvo>
              <x14:negativeFillColor rgb="FF63BE7B"/>
            </x14:dataBar>
          </x14:cfRule>
          <xm:sqref>B54:B62</xm:sqref>
        </x14:conditionalFormatting>
        <x14:conditionalFormatting xmlns:xm="http://schemas.microsoft.com/office/excel/2006/main">
          <x14:cfRule type="dataBar" id="{9DB4E3B3-4670-4E40-A190-93D9DC459236}">
            <x14:dataBar axisPosition="none">
              <x14:cfvo type="num">
                <xm:f>0</xm:f>
              </x14:cfvo>
              <x14:cfvo type="num">
                <xm:f>100</xm:f>
              </x14:cfvo>
              <x14:negativeFillColor rgb="FF63C384"/>
            </x14:dataBar>
          </x14:cfRule>
          <xm:sqref>C8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89"/>
  <sheetViews>
    <sheetView topLeftCell="A55" zoomScaleNormal="100" workbookViewId="0">
      <pane ySplit="9" topLeftCell="A10" activePane="bottomLeft" state="frozen"/>
      <selection activeCell="A55" sqref="A55"/>
      <selection pane="bottomLeft" activeCell="B72" sqref="B72"/>
    </sheetView>
  </sheetViews>
  <sheetFormatPr baseColWidth="10" defaultColWidth="8.83203125" defaultRowHeight="15" x14ac:dyDescent="0.2"/>
  <cols>
    <col min="1" max="1" width="10" customWidth="1"/>
    <col min="2" max="2" width="55" customWidth="1"/>
    <col min="3" max="3" width="8" customWidth="1"/>
    <col min="4" max="4" width="26" customWidth="1"/>
    <col min="5" max="5" width="18.5" customWidth="1"/>
    <col min="6" max="6" width="18.1640625" customWidth="1"/>
    <col min="7" max="7" width="22" customWidth="1"/>
    <col min="8" max="8" width="28" customWidth="1"/>
    <col min="9" max="9" width="14" customWidth="1"/>
    <col min="21" max="21" width="2" hidden="1" customWidth="1"/>
  </cols>
  <sheetData>
    <row r="1" spans="1:13" ht="39.75" customHeight="1" x14ac:dyDescent="0.2">
      <c r="A1" s="224" t="s">
        <v>308</v>
      </c>
      <c r="B1" s="224"/>
      <c r="C1" s="224"/>
      <c r="D1" s="77" t="s">
        <v>25</v>
      </c>
      <c r="E1" s="77"/>
    </row>
    <row r="2" spans="1:13" ht="19.5" customHeight="1" x14ac:dyDescent="0.2">
      <c r="A2" s="225" t="s">
        <v>309</v>
      </c>
      <c r="B2" s="225"/>
      <c r="C2" s="225"/>
      <c r="D2" s="8" t="s">
        <v>27</v>
      </c>
      <c r="E2" s="9">
        <f>COUNT(A10:A45)</f>
        <v>36</v>
      </c>
    </row>
    <row r="3" spans="1:13" ht="19.5" customHeight="1" x14ac:dyDescent="0.2">
      <c r="A3" s="225"/>
      <c r="B3" s="225"/>
      <c r="C3" s="225"/>
      <c r="D3" s="8" t="s">
        <v>29</v>
      </c>
      <c r="E3" s="9">
        <v>36</v>
      </c>
    </row>
    <row r="4" spans="1:13" ht="19.5" customHeight="1" x14ac:dyDescent="0.2">
      <c r="A4" s="225"/>
      <c r="B4" s="225"/>
      <c r="C4" s="225"/>
      <c r="D4" s="8" t="s">
        <v>31</v>
      </c>
      <c r="E4" s="9" t="str">
        <f>ROUND(E2/E3*100,0)&amp;"%"</f>
        <v>100%</v>
      </c>
    </row>
    <row r="5" spans="1:13" ht="19.5" customHeight="1" x14ac:dyDescent="0.2">
      <c r="A5" s="225"/>
      <c r="B5" s="225"/>
      <c r="C5" s="225"/>
    </row>
    <row r="6" spans="1:13" ht="19.5" customHeight="1" x14ac:dyDescent="0.2">
      <c r="A6" s="225" t="s">
        <v>310</v>
      </c>
      <c r="B6" s="225"/>
      <c r="C6" s="225"/>
      <c r="D6" s="225"/>
      <c r="E6" s="225"/>
      <c r="F6" s="225"/>
    </row>
    <row r="7" spans="1:13" ht="19.5" customHeight="1" x14ac:dyDescent="0.2">
      <c r="A7" s="226" t="s">
        <v>44</v>
      </c>
      <c r="B7" s="226"/>
      <c r="C7" s="226"/>
      <c r="D7" s="226"/>
      <c r="E7" s="226"/>
      <c r="F7" s="226"/>
    </row>
    <row r="8" spans="1:13" ht="60" customHeight="1" x14ac:dyDescent="0.2">
      <c r="A8" s="201" t="s">
        <v>34</v>
      </c>
      <c r="B8" s="201"/>
      <c r="C8" s="201"/>
      <c r="D8" s="201"/>
      <c r="E8" s="201"/>
      <c r="F8" s="201"/>
      <c r="H8" s="78" t="s">
        <v>311</v>
      </c>
      <c r="K8" s="78" t="s">
        <v>312</v>
      </c>
    </row>
    <row r="9" spans="1:13" ht="25.5" customHeight="1" x14ac:dyDescent="0.2">
      <c r="A9" s="19" t="s">
        <v>44</v>
      </c>
      <c r="B9" s="19" t="s">
        <v>313</v>
      </c>
      <c r="C9" s="19" t="s">
        <v>46</v>
      </c>
      <c r="D9" s="19" t="s">
        <v>314</v>
      </c>
      <c r="E9" s="19" t="s">
        <v>315</v>
      </c>
      <c r="F9" s="19" t="s">
        <v>316</v>
      </c>
      <c r="G9" s="19" t="s">
        <v>317</v>
      </c>
      <c r="H9" s="19" t="s">
        <v>318</v>
      </c>
      <c r="I9" s="19" t="s">
        <v>319</v>
      </c>
      <c r="J9" s="79" t="s">
        <v>320</v>
      </c>
      <c r="K9" s="79" t="s">
        <v>321</v>
      </c>
      <c r="L9" s="79" t="s">
        <v>322</v>
      </c>
      <c r="M9" s="80"/>
    </row>
    <row r="10" spans="1:13" ht="36" customHeight="1" x14ac:dyDescent="0.2">
      <c r="A10" s="21">
        <v>4</v>
      </c>
      <c r="B10" s="81" t="s">
        <v>323</v>
      </c>
      <c r="C10" s="82" t="s">
        <v>324</v>
      </c>
      <c r="D10" s="83" t="s">
        <v>325</v>
      </c>
      <c r="E10" s="84"/>
      <c r="F10" s="85">
        <f t="shared" ref="F10:F45" si="0">IF(A10="","",IF(E10="R",5-VALUE(A10),VALUE(A10)))</f>
        <v>4</v>
      </c>
      <c r="G10" s="86" t="s">
        <v>326</v>
      </c>
      <c r="H10" t="s">
        <v>35</v>
      </c>
      <c r="I10" t="s">
        <v>38</v>
      </c>
      <c r="J10" t="s">
        <v>68</v>
      </c>
      <c r="K10">
        <v>0.15</v>
      </c>
      <c r="L10">
        <f t="shared" ref="L10:L45" si="1">IF($D10="Protection Signature",1.25,IF(OR($D10="Structure &amp; Clarity",$D10="Quality vs Speed"),0.7,1))</f>
        <v>0.7</v>
      </c>
    </row>
    <row r="11" spans="1:13" ht="36" customHeight="1" x14ac:dyDescent="0.2">
      <c r="A11" s="21">
        <v>4</v>
      </c>
      <c r="B11" s="87" t="s">
        <v>327</v>
      </c>
      <c r="C11" s="82" t="s">
        <v>328</v>
      </c>
      <c r="D11" s="88" t="s">
        <v>325</v>
      </c>
      <c r="E11" s="89"/>
      <c r="F11" s="89">
        <f t="shared" si="0"/>
        <v>4</v>
      </c>
      <c r="G11" s="86" t="s">
        <v>326</v>
      </c>
      <c r="H11" t="s">
        <v>35</v>
      </c>
      <c r="I11" t="s">
        <v>39</v>
      </c>
      <c r="J11" t="s">
        <v>38</v>
      </c>
      <c r="K11">
        <v>0.33</v>
      </c>
      <c r="L11">
        <f t="shared" si="1"/>
        <v>0.7</v>
      </c>
    </row>
    <row r="12" spans="1:13" ht="36" customHeight="1" x14ac:dyDescent="0.2">
      <c r="A12" s="21">
        <v>4</v>
      </c>
      <c r="B12" s="81" t="s">
        <v>329</v>
      </c>
      <c r="C12" s="82" t="s">
        <v>330</v>
      </c>
      <c r="D12" s="83" t="s">
        <v>325</v>
      </c>
      <c r="E12" s="84" t="s">
        <v>331</v>
      </c>
      <c r="F12" s="85">
        <f t="shared" si="0"/>
        <v>1</v>
      </c>
      <c r="G12" s="86" t="s">
        <v>326</v>
      </c>
      <c r="H12" t="s">
        <v>41</v>
      </c>
      <c r="I12" t="s">
        <v>139</v>
      </c>
      <c r="J12" t="s">
        <v>39</v>
      </c>
      <c r="K12">
        <v>0.25</v>
      </c>
      <c r="L12">
        <f t="shared" si="1"/>
        <v>0.7</v>
      </c>
    </row>
    <row r="13" spans="1:13" ht="36" customHeight="1" x14ac:dyDescent="0.2">
      <c r="A13" s="21">
        <v>4</v>
      </c>
      <c r="B13" s="87" t="s">
        <v>332</v>
      </c>
      <c r="C13" s="82" t="s">
        <v>333</v>
      </c>
      <c r="D13" s="88" t="s">
        <v>334</v>
      </c>
      <c r="E13" s="89"/>
      <c r="F13" s="89">
        <f t="shared" si="0"/>
        <v>4</v>
      </c>
      <c r="G13" s="86" t="s">
        <v>326</v>
      </c>
      <c r="H13" t="s">
        <v>119</v>
      </c>
      <c r="I13" t="s">
        <v>139</v>
      </c>
      <c r="L13">
        <f t="shared" si="1"/>
        <v>1</v>
      </c>
    </row>
    <row r="14" spans="1:13" ht="36" customHeight="1" x14ac:dyDescent="0.2">
      <c r="A14" s="21">
        <v>4</v>
      </c>
      <c r="B14" s="81" t="s">
        <v>335</v>
      </c>
      <c r="C14" s="82" t="s">
        <v>336</v>
      </c>
      <c r="D14" s="83" t="s">
        <v>334</v>
      </c>
      <c r="E14" s="84"/>
      <c r="F14" s="85">
        <f t="shared" si="0"/>
        <v>4</v>
      </c>
      <c r="G14" s="86" t="s">
        <v>337</v>
      </c>
      <c r="H14" t="s">
        <v>35</v>
      </c>
      <c r="I14" t="s">
        <v>119</v>
      </c>
      <c r="J14" t="s">
        <v>68</v>
      </c>
      <c r="K14">
        <v>0.15</v>
      </c>
      <c r="L14">
        <f t="shared" si="1"/>
        <v>1</v>
      </c>
    </row>
    <row r="15" spans="1:13" ht="36" customHeight="1" x14ac:dyDescent="0.2">
      <c r="A15" s="21">
        <v>4</v>
      </c>
      <c r="B15" s="87" t="s">
        <v>338</v>
      </c>
      <c r="C15" s="82" t="s">
        <v>339</v>
      </c>
      <c r="D15" s="88" t="s">
        <v>334</v>
      </c>
      <c r="E15" s="89" t="s">
        <v>331</v>
      </c>
      <c r="F15" s="89">
        <f t="shared" si="0"/>
        <v>1</v>
      </c>
      <c r="G15" s="86" t="s">
        <v>337</v>
      </c>
      <c r="H15" t="s">
        <v>39</v>
      </c>
      <c r="I15" t="s">
        <v>77</v>
      </c>
      <c r="J15" t="s">
        <v>41</v>
      </c>
      <c r="K15">
        <v>0.33</v>
      </c>
      <c r="L15">
        <f t="shared" si="1"/>
        <v>1</v>
      </c>
    </row>
    <row r="16" spans="1:13" ht="36" customHeight="1" x14ac:dyDescent="0.2">
      <c r="A16" s="21">
        <v>4</v>
      </c>
      <c r="B16" s="81" t="s">
        <v>340</v>
      </c>
      <c r="C16" s="82" t="s">
        <v>341</v>
      </c>
      <c r="D16" s="83" t="s">
        <v>342</v>
      </c>
      <c r="E16" s="84" t="s">
        <v>331</v>
      </c>
      <c r="F16" s="85">
        <f t="shared" si="0"/>
        <v>1</v>
      </c>
      <c r="G16" s="86" t="s">
        <v>337</v>
      </c>
      <c r="H16" t="s">
        <v>68</v>
      </c>
      <c r="L16">
        <f t="shared" si="1"/>
        <v>1</v>
      </c>
    </row>
    <row r="17" spans="1:12" ht="36" customHeight="1" x14ac:dyDescent="0.2">
      <c r="A17" s="21">
        <v>4</v>
      </c>
      <c r="B17" s="87" t="s">
        <v>343</v>
      </c>
      <c r="C17" s="82" t="s">
        <v>344</v>
      </c>
      <c r="D17" s="88" t="s">
        <v>345</v>
      </c>
      <c r="E17" s="89" t="s">
        <v>331</v>
      </c>
      <c r="F17" s="89">
        <f t="shared" si="0"/>
        <v>1</v>
      </c>
      <c r="G17" s="86" t="s">
        <v>337</v>
      </c>
      <c r="H17" t="s">
        <v>38</v>
      </c>
      <c r="I17" t="s">
        <v>35</v>
      </c>
      <c r="J17" t="s">
        <v>39</v>
      </c>
      <c r="K17">
        <v>0.33</v>
      </c>
      <c r="L17">
        <f t="shared" si="1"/>
        <v>1</v>
      </c>
    </row>
    <row r="18" spans="1:12" ht="36" customHeight="1" x14ac:dyDescent="0.2">
      <c r="A18" s="21">
        <v>4</v>
      </c>
      <c r="B18" s="81" t="s">
        <v>346</v>
      </c>
      <c r="C18" s="82" t="s">
        <v>347</v>
      </c>
      <c r="D18" s="83" t="s">
        <v>348</v>
      </c>
      <c r="E18" s="84"/>
      <c r="F18" s="85">
        <f t="shared" si="0"/>
        <v>4</v>
      </c>
      <c r="G18" s="86" t="s">
        <v>349</v>
      </c>
      <c r="H18" t="s">
        <v>68</v>
      </c>
      <c r="L18">
        <f t="shared" si="1"/>
        <v>1.25</v>
      </c>
    </row>
    <row r="19" spans="1:12" ht="36" customHeight="1" x14ac:dyDescent="0.2">
      <c r="A19" s="21">
        <v>4</v>
      </c>
      <c r="B19" s="87" t="s">
        <v>350</v>
      </c>
      <c r="C19" s="82" t="s">
        <v>351</v>
      </c>
      <c r="D19" s="88" t="s">
        <v>352</v>
      </c>
      <c r="E19" s="89"/>
      <c r="F19" s="89">
        <f t="shared" si="0"/>
        <v>4</v>
      </c>
      <c r="G19" s="86" t="s">
        <v>349</v>
      </c>
      <c r="H19" t="s">
        <v>77</v>
      </c>
      <c r="I19" t="s">
        <v>119</v>
      </c>
      <c r="J19" t="s">
        <v>139</v>
      </c>
      <c r="K19">
        <v>0.33</v>
      </c>
      <c r="L19">
        <f t="shared" si="1"/>
        <v>1</v>
      </c>
    </row>
    <row r="20" spans="1:12" ht="36" customHeight="1" x14ac:dyDescent="0.2">
      <c r="A20" s="21">
        <v>4</v>
      </c>
      <c r="B20" s="81" t="s">
        <v>353</v>
      </c>
      <c r="C20" s="82" t="s">
        <v>354</v>
      </c>
      <c r="D20" s="83" t="s">
        <v>352</v>
      </c>
      <c r="E20" s="84" t="s">
        <v>331</v>
      </c>
      <c r="F20" s="85">
        <f t="shared" si="0"/>
        <v>1</v>
      </c>
      <c r="G20" s="86" t="s">
        <v>349</v>
      </c>
      <c r="H20" t="s">
        <v>39</v>
      </c>
      <c r="I20" t="s">
        <v>41</v>
      </c>
      <c r="L20">
        <f t="shared" si="1"/>
        <v>1</v>
      </c>
    </row>
    <row r="21" spans="1:12" ht="36" customHeight="1" x14ac:dyDescent="0.2">
      <c r="A21" s="21">
        <v>4</v>
      </c>
      <c r="B21" s="87" t="s">
        <v>355</v>
      </c>
      <c r="C21" s="82" t="s">
        <v>356</v>
      </c>
      <c r="D21" s="88" t="s">
        <v>348</v>
      </c>
      <c r="E21" s="89"/>
      <c r="F21" s="89">
        <f t="shared" si="0"/>
        <v>4</v>
      </c>
      <c r="G21" s="86" t="s">
        <v>349</v>
      </c>
      <c r="H21" t="s">
        <v>68</v>
      </c>
      <c r="L21">
        <f t="shared" si="1"/>
        <v>1.25</v>
      </c>
    </row>
    <row r="22" spans="1:12" ht="36" customHeight="1" x14ac:dyDescent="0.2">
      <c r="A22" s="21">
        <v>4</v>
      </c>
      <c r="B22" s="81" t="s">
        <v>357</v>
      </c>
      <c r="C22" s="82" t="s">
        <v>358</v>
      </c>
      <c r="D22" s="83" t="s">
        <v>359</v>
      </c>
      <c r="E22" s="84"/>
      <c r="F22" s="85">
        <f t="shared" si="0"/>
        <v>4</v>
      </c>
      <c r="G22" s="86" t="s">
        <v>360</v>
      </c>
      <c r="H22" t="s">
        <v>119</v>
      </c>
      <c r="I22" t="s">
        <v>35</v>
      </c>
      <c r="J22" t="s">
        <v>68</v>
      </c>
      <c r="K22">
        <v>0.15</v>
      </c>
      <c r="L22">
        <f t="shared" si="1"/>
        <v>1</v>
      </c>
    </row>
    <row r="23" spans="1:12" ht="36" customHeight="1" x14ac:dyDescent="0.2">
      <c r="A23" s="21">
        <v>4</v>
      </c>
      <c r="B23" s="87" t="s">
        <v>361</v>
      </c>
      <c r="C23" s="82" t="s">
        <v>362</v>
      </c>
      <c r="D23" s="88" t="s">
        <v>359</v>
      </c>
      <c r="E23" s="89" t="s">
        <v>331</v>
      </c>
      <c r="F23" s="89">
        <f t="shared" si="0"/>
        <v>1</v>
      </c>
      <c r="G23" s="86" t="s">
        <v>360</v>
      </c>
      <c r="H23" t="s">
        <v>39</v>
      </c>
      <c r="I23" t="s">
        <v>43</v>
      </c>
      <c r="J23" t="s">
        <v>41</v>
      </c>
      <c r="K23">
        <v>0.25</v>
      </c>
      <c r="L23">
        <f t="shared" si="1"/>
        <v>1</v>
      </c>
    </row>
    <row r="24" spans="1:12" ht="36" customHeight="1" x14ac:dyDescent="0.2">
      <c r="A24" s="21">
        <v>4</v>
      </c>
      <c r="B24" s="81" t="s">
        <v>363</v>
      </c>
      <c r="C24" s="82" t="s">
        <v>364</v>
      </c>
      <c r="D24" s="83" t="s">
        <v>359</v>
      </c>
      <c r="E24" s="84"/>
      <c r="F24" s="85">
        <f t="shared" si="0"/>
        <v>4</v>
      </c>
      <c r="G24" s="86" t="s">
        <v>360</v>
      </c>
      <c r="H24" t="s">
        <v>139</v>
      </c>
      <c r="I24" t="s">
        <v>77</v>
      </c>
      <c r="J24" t="s">
        <v>119</v>
      </c>
      <c r="K24">
        <v>0.33</v>
      </c>
      <c r="L24">
        <f t="shared" si="1"/>
        <v>1</v>
      </c>
    </row>
    <row r="25" spans="1:12" ht="36" customHeight="1" x14ac:dyDescent="0.2">
      <c r="A25" s="21">
        <v>4</v>
      </c>
      <c r="B25" s="87" t="s">
        <v>365</v>
      </c>
      <c r="C25" s="82" t="s">
        <v>366</v>
      </c>
      <c r="D25" s="88" t="s">
        <v>367</v>
      </c>
      <c r="E25" s="89"/>
      <c r="F25" s="89">
        <f t="shared" si="0"/>
        <v>4</v>
      </c>
      <c r="G25" s="86" t="s">
        <v>360</v>
      </c>
      <c r="H25" t="s">
        <v>41</v>
      </c>
      <c r="I25" t="s">
        <v>139</v>
      </c>
      <c r="J25" t="s">
        <v>43</v>
      </c>
      <c r="K25">
        <v>0.33</v>
      </c>
      <c r="L25">
        <f t="shared" si="1"/>
        <v>1</v>
      </c>
    </row>
    <row r="26" spans="1:12" ht="36" customHeight="1" x14ac:dyDescent="0.2">
      <c r="A26" s="21">
        <v>4</v>
      </c>
      <c r="B26" s="81" t="s">
        <v>368</v>
      </c>
      <c r="C26" s="82" t="s">
        <v>369</v>
      </c>
      <c r="D26" s="83" t="s">
        <v>367</v>
      </c>
      <c r="E26" s="84" t="s">
        <v>331</v>
      </c>
      <c r="F26" s="85">
        <f t="shared" si="0"/>
        <v>1</v>
      </c>
      <c r="G26" s="86" t="s">
        <v>370</v>
      </c>
      <c r="H26" t="s">
        <v>35</v>
      </c>
      <c r="I26" t="s">
        <v>38</v>
      </c>
      <c r="J26" t="s">
        <v>68</v>
      </c>
      <c r="K26">
        <v>0.15</v>
      </c>
      <c r="L26">
        <f t="shared" si="1"/>
        <v>1</v>
      </c>
    </row>
    <row r="27" spans="1:12" ht="36" customHeight="1" x14ac:dyDescent="0.2">
      <c r="A27" s="21">
        <v>4</v>
      </c>
      <c r="B27" s="87" t="s">
        <v>371</v>
      </c>
      <c r="C27" s="82" t="s">
        <v>372</v>
      </c>
      <c r="D27" s="88" t="s">
        <v>367</v>
      </c>
      <c r="E27" s="89"/>
      <c r="F27" s="89">
        <f t="shared" si="0"/>
        <v>4</v>
      </c>
      <c r="G27" s="86" t="s">
        <v>370</v>
      </c>
      <c r="H27" t="s">
        <v>139</v>
      </c>
      <c r="I27" t="s">
        <v>41</v>
      </c>
      <c r="J27" t="s">
        <v>39</v>
      </c>
      <c r="K27">
        <v>0.33</v>
      </c>
      <c r="L27">
        <f t="shared" si="1"/>
        <v>1</v>
      </c>
    </row>
    <row r="28" spans="1:12" ht="36" customHeight="1" x14ac:dyDescent="0.2">
      <c r="A28" s="21">
        <v>4</v>
      </c>
      <c r="B28" s="81" t="s">
        <v>373</v>
      </c>
      <c r="C28" s="82" t="s">
        <v>374</v>
      </c>
      <c r="D28" s="83" t="s">
        <v>375</v>
      </c>
      <c r="E28" s="84"/>
      <c r="F28" s="85">
        <f t="shared" si="0"/>
        <v>4</v>
      </c>
      <c r="G28" s="86" t="s">
        <v>370</v>
      </c>
      <c r="H28" t="s">
        <v>35</v>
      </c>
      <c r="I28" t="s">
        <v>119</v>
      </c>
      <c r="J28" t="s">
        <v>68</v>
      </c>
      <c r="K28">
        <v>0.15</v>
      </c>
      <c r="L28">
        <f t="shared" si="1"/>
        <v>1</v>
      </c>
    </row>
    <row r="29" spans="1:12" ht="36" customHeight="1" x14ac:dyDescent="0.2">
      <c r="A29" s="21">
        <v>4</v>
      </c>
      <c r="B29" s="87" t="s">
        <v>376</v>
      </c>
      <c r="C29" s="82" t="s">
        <v>377</v>
      </c>
      <c r="D29" s="88" t="s">
        <v>375</v>
      </c>
      <c r="E29" s="89" t="s">
        <v>331</v>
      </c>
      <c r="F29" s="89">
        <f t="shared" si="0"/>
        <v>1</v>
      </c>
      <c r="G29" s="86" t="s">
        <v>370</v>
      </c>
      <c r="H29" t="s">
        <v>68</v>
      </c>
      <c r="I29" t="s">
        <v>119</v>
      </c>
      <c r="J29" t="s">
        <v>35</v>
      </c>
      <c r="K29">
        <v>0.25</v>
      </c>
      <c r="L29">
        <f t="shared" si="1"/>
        <v>1</v>
      </c>
    </row>
    <row r="30" spans="1:12" ht="36" customHeight="1" x14ac:dyDescent="0.2">
      <c r="A30" s="21">
        <v>4</v>
      </c>
      <c r="B30" s="81" t="s">
        <v>378</v>
      </c>
      <c r="C30" s="82" t="s">
        <v>379</v>
      </c>
      <c r="D30" s="83" t="s">
        <v>375</v>
      </c>
      <c r="E30" s="84"/>
      <c r="F30" s="85">
        <f t="shared" si="0"/>
        <v>4</v>
      </c>
      <c r="G30" s="86" t="s">
        <v>380</v>
      </c>
      <c r="H30" t="s">
        <v>139</v>
      </c>
      <c r="I30" t="s">
        <v>35</v>
      </c>
      <c r="J30" t="s">
        <v>68</v>
      </c>
      <c r="K30">
        <v>0.15</v>
      </c>
      <c r="L30">
        <f t="shared" si="1"/>
        <v>1</v>
      </c>
    </row>
    <row r="31" spans="1:12" ht="36" customHeight="1" x14ac:dyDescent="0.2">
      <c r="A31" s="21">
        <v>4</v>
      </c>
      <c r="B31" s="87" t="s">
        <v>381</v>
      </c>
      <c r="C31" s="82" t="s">
        <v>382</v>
      </c>
      <c r="D31" s="88" t="s">
        <v>348</v>
      </c>
      <c r="E31" s="89"/>
      <c r="F31" s="89">
        <f t="shared" si="0"/>
        <v>4</v>
      </c>
      <c r="G31" s="86" t="s">
        <v>380</v>
      </c>
      <c r="H31" t="s">
        <v>68</v>
      </c>
      <c r="L31">
        <f t="shared" si="1"/>
        <v>1.25</v>
      </c>
    </row>
    <row r="32" spans="1:12" ht="36" customHeight="1" x14ac:dyDescent="0.2">
      <c r="A32" s="21">
        <v>4</v>
      </c>
      <c r="B32" s="81" t="s">
        <v>383</v>
      </c>
      <c r="C32" s="82" t="s">
        <v>384</v>
      </c>
      <c r="D32" s="83" t="s">
        <v>385</v>
      </c>
      <c r="E32" s="84" t="s">
        <v>331</v>
      </c>
      <c r="F32" s="85">
        <f t="shared" si="0"/>
        <v>1</v>
      </c>
      <c r="G32" s="86" t="s">
        <v>380</v>
      </c>
      <c r="H32" t="s">
        <v>39</v>
      </c>
      <c r="I32" t="s">
        <v>41</v>
      </c>
      <c r="J32" t="s">
        <v>38</v>
      </c>
      <c r="K32">
        <v>0.33</v>
      </c>
      <c r="L32">
        <f t="shared" si="1"/>
        <v>1</v>
      </c>
    </row>
    <row r="33" spans="1:20" ht="36" customHeight="1" x14ac:dyDescent="0.2">
      <c r="A33" s="21">
        <v>4</v>
      </c>
      <c r="B33" s="87" t="s">
        <v>386</v>
      </c>
      <c r="C33" s="82" t="s">
        <v>387</v>
      </c>
      <c r="D33" s="88" t="s">
        <v>385</v>
      </c>
      <c r="E33" s="89"/>
      <c r="F33" s="89">
        <f t="shared" si="0"/>
        <v>4</v>
      </c>
      <c r="G33" s="86" t="s">
        <v>380</v>
      </c>
      <c r="H33" t="s">
        <v>35</v>
      </c>
      <c r="I33" t="s">
        <v>119</v>
      </c>
      <c r="J33" t="s">
        <v>38</v>
      </c>
      <c r="K33">
        <v>0.33</v>
      </c>
      <c r="L33">
        <f t="shared" si="1"/>
        <v>1</v>
      </c>
    </row>
    <row r="34" spans="1:20" ht="36" customHeight="1" x14ac:dyDescent="0.2">
      <c r="A34" s="21">
        <v>4</v>
      </c>
      <c r="B34" s="81" t="s">
        <v>388</v>
      </c>
      <c r="C34" s="82" t="s">
        <v>389</v>
      </c>
      <c r="D34" s="83" t="s">
        <v>390</v>
      </c>
      <c r="E34" s="84"/>
      <c r="F34" s="85">
        <f t="shared" si="0"/>
        <v>4</v>
      </c>
      <c r="G34" s="86" t="s">
        <v>391</v>
      </c>
      <c r="H34" t="s">
        <v>38</v>
      </c>
      <c r="I34" t="s">
        <v>43</v>
      </c>
      <c r="J34" t="s">
        <v>119</v>
      </c>
      <c r="K34">
        <v>0.33</v>
      </c>
      <c r="L34">
        <f t="shared" si="1"/>
        <v>1</v>
      </c>
    </row>
    <row r="35" spans="1:20" ht="36" customHeight="1" x14ac:dyDescent="0.2">
      <c r="A35" s="21">
        <v>4</v>
      </c>
      <c r="B35" s="87" t="s">
        <v>392</v>
      </c>
      <c r="C35" s="82" t="s">
        <v>393</v>
      </c>
      <c r="D35" s="88" t="s">
        <v>390</v>
      </c>
      <c r="E35" s="89" t="s">
        <v>331</v>
      </c>
      <c r="F35" s="89">
        <f t="shared" si="0"/>
        <v>1</v>
      </c>
      <c r="G35" s="86" t="s">
        <v>391</v>
      </c>
      <c r="H35" t="s">
        <v>39</v>
      </c>
      <c r="I35" t="s">
        <v>139</v>
      </c>
      <c r="J35" t="s">
        <v>41</v>
      </c>
      <c r="K35">
        <v>0.33</v>
      </c>
      <c r="L35">
        <f t="shared" si="1"/>
        <v>1</v>
      </c>
    </row>
    <row r="36" spans="1:20" ht="36" customHeight="1" x14ac:dyDescent="0.2">
      <c r="A36" s="21">
        <v>4</v>
      </c>
      <c r="B36" s="81" t="s">
        <v>394</v>
      </c>
      <c r="C36" s="82" t="s">
        <v>395</v>
      </c>
      <c r="D36" s="83" t="s">
        <v>390</v>
      </c>
      <c r="E36" s="84"/>
      <c r="F36" s="85">
        <f t="shared" si="0"/>
        <v>4</v>
      </c>
      <c r="G36" s="86" t="s">
        <v>391</v>
      </c>
      <c r="H36" t="s">
        <v>43</v>
      </c>
      <c r="I36" t="s">
        <v>38</v>
      </c>
      <c r="L36">
        <f t="shared" si="1"/>
        <v>1</v>
      </c>
    </row>
    <row r="37" spans="1:20" ht="36" customHeight="1" x14ac:dyDescent="0.2">
      <c r="A37" s="21">
        <v>4</v>
      </c>
      <c r="B37" s="87" t="s">
        <v>396</v>
      </c>
      <c r="C37" s="82" t="s">
        <v>397</v>
      </c>
      <c r="D37" s="88" t="s">
        <v>398</v>
      </c>
      <c r="E37" s="89"/>
      <c r="F37" s="89">
        <f t="shared" si="0"/>
        <v>4</v>
      </c>
      <c r="G37" s="86" t="s">
        <v>391</v>
      </c>
      <c r="H37" t="s">
        <v>39</v>
      </c>
      <c r="I37" t="s">
        <v>35</v>
      </c>
      <c r="J37" t="s">
        <v>68</v>
      </c>
      <c r="K37">
        <v>0.15</v>
      </c>
      <c r="L37">
        <f t="shared" si="1"/>
        <v>1</v>
      </c>
    </row>
    <row r="38" spans="1:20" ht="36" customHeight="1" x14ac:dyDescent="0.2">
      <c r="A38" s="21">
        <v>4</v>
      </c>
      <c r="B38" s="81" t="s">
        <v>399</v>
      </c>
      <c r="C38" s="82" t="s">
        <v>400</v>
      </c>
      <c r="D38" s="83" t="s">
        <v>398</v>
      </c>
      <c r="E38" s="84"/>
      <c r="F38" s="85">
        <f t="shared" si="0"/>
        <v>4</v>
      </c>
      <c r="G38" s="86" t="s">
        <v>401</v>
      </c>
      <c r="H38" t="s">
        <v>38</v>
      </c>
      <c r="I38" t="s">
        <v>43</v>
      </c>
      <c r="J38" t="s">
        <v>119</v>
      </c>
      <c r="K38">
        <v>0.33</v>
      </c>
      <c r="L38">
        <f t="shared" si="1"/>
        <v>1</v>
      </c>
    </row>
    <row r="39" spans="1:20" ht="36" customHeight="1" x14ac:dyDescent="0.2">
      <c r="A39" s="21">
        <v>4</v>
      </c>
      <c r="B39" s="87" t="s">
        <v>402</v>
      </c>
      <c r="C39" s="82" t="s">
        <v>403</v>
      </c>
      <c r="D39" s="88" t="s">
        <v>398</v>
      </c>
      <c r="E39" s="89"/>
      <c r="F39" s="89">
        <f t="shared" si="0"/>
        <v>4</v>
      </c>
      <c r="G39" s="86" t="s">
        <v>401</v>
      </c>
      <c r="H39" t="s">
        <v>41</v>
      </c>
      <c r="I39" t="s">
        <v>139</v>
      </c>
      <c r="J39" t="s">
        <v>39</v>
      </c>
      <c r="K39">
        <v>0.33</v>
      </c>
      <c r="L39">
        <f t="shared" si="1"/>
        <v>1</v>
      </c>
    </row>
    <row r="40" spans="1:20" ht="36" customHeight="1" x14ac:dyDescent="0.2">
      <c r="A40" s="21">
        <v>4</v>
      </c>
      <c r="B40" s="81" t="s">
        <v>404</v>
      </c>
      <c r="C40" s="82" t="s">
        <v>405</v>
      </c>
      <c r="D40" s="83" t="s">
        <v>406</v>
      </c>
      <c r="E40" s="84"/>
      <c r="F40" s="85">
        <f t="shared" si="0"/>
        <v>4</v>
      </c>
      <c r="G40" s="86" t="s">
        <v>401</v>
      </c>
      <c r="H40" t="s">
        <v>41</v>
      </c>
      <c r="I40" t="s">
        <v>77</v>
      </c>
      <c r="J40" t="s">
        <v>39</v>
      </c>
      <c r="K40">
        <v>0.33</v>
      </c>
      <c r="L40">
        <f t="shared" si="1"/>
        <v>1</v>
      </c>
    </row>
    <row r="41" spans="1:20" ht="36" customHeight="1" x14ac:dyDescent="0.2">
      <c r="A41" s="21">
        <v>4</v>
      </c>
      <c r="B41" s="87" t="s">
        <v>407</v>
      </c>
      <c r="C41" s="82" t="s">
        <v>408</v>
      </c>
      <c r="D41" s="88" t="s">
        <v>348</v>
      </c>
      <c r="E41" s="89"/>
      <c r="F41" s="89">
        <f t="shared" si="0"/>
        <v>4</v>
      </c>
      <c r="G41" s="86" t="s">
        <v>401</v>
      </c>
      <c r="H41" t="s">
        <v>68</v>
      </c>
      <c r="L41">
        <f t="shared" si="1"/>
        <v>1.25</v>
      </c>
    </row>
    <row r="42" spans="1:20" ht="36" customHeight="1" x14ac:dyDescent="0.2">
      <c r="A42" s="21">
        <v>4</v>
      </c>
      <c r="B42" s="81" t="s">
        <v>409</v>
      </c>
      <c r="C42" s="82" t="s">
        <v>410</v>
      </c>
      <c r="D42" s="83" t="s">
        <v>406</v>
      </c>
      <c r="E42" s="84"/>
      <c r="F42" s="85">
        <f t="shared" si="0"/>
        <v>4</v>
      </c>
      <c r="G42" s="86" t="s">
        <v>411</v>
      </c>
      <c r="H42" t="s">
        <v>77</v>
      </c>
      <c r="I42" t="s">
        <v>35</v>
      </c>
      <c r="J42" t="s">
        <v>38</v>
      </c>
      <c r="K42">
        <v>0.33</v>
      </c>
      <c r="L42">
        <f t="shared" si="1"/>
        <v>1</v>
      </c>
    </row>
    <row r="43" spans="1:20" ht="36" customHeight="1" x14ac:dyDescent="0.2">
      <c r="A43" s="21">
        <v>4</v>
      </c>
      <c r="B43" s="87" t="s">
        <v>412</v>
      </c>
      <c r="C43" s="82" t="s">
        <v>413</v>
      </c>
      <c r="D43" s="88" t="s">
        <v>414</v>
      </c>
      <c r="E43" s="89"/>
      <c r="F43" s="89">
        <f t="shared" si="0"/>
        <v>4</v>
      </c>
      <c r="G43" s="86" t="s">
        <v>411</v>
      </c>
      <c r="H43" t="s">
        <v>35</v>
      </c>
      <c r="I43" t="s">
        <v>39</v>
      </c>
      <c r="J43" t="s">
        <v>38</v>
      </c>
      <c r="K43">
        <v>0.33</v>
      </c>
      <c r="L43">
        <f t="shared" si="1"/>
        <v>0.7</v>
      </c>
    </row>
    <row r="44" spans="1:20" ht="36" customHeight="1" x14ac:dyDescent="0.2">
      <c r="A44" s="21">
        <v>4</v>
      </c>
      <c r="B44" s="81" t="s">
        <v>415</v>
      </c>
      <c r="C44" s="82" t="s">
        <v>416</v>
      </c>
      <c r="D44" s="83" t="s">
        <v>342</v>
      </c>
      <c r="E44" s="84" t="s">
        <v>331</v>
      </c>
      <c r="F44" s="85">
        <f t="shared" si="0"/>
        <v>1</v>
      </c>
      <c r="G44" s="86" t="s">
        <v>411</v>
      </c>
      <c r="H44" t="s">
        <v>68</v>
      </c>
      <c r="L44">
        <f t="shared" si="1"/>
        <v>1</v>
      </c>
    </row>
    <row r="45" spans="1:20" ht="36" customHeight="1" x14ac:dyDescent="0.2">
      <c r="A45" s="21">
        <v>4</v>
      </c>
      <c r="B45" s="87" t="s">
        <v>417</v>
      </c>
      <c r="C45" s="82" t="s">
        <v>418</v>
      </c>
      <c r="D45" s="88" t="s">
        <v>414</v>
      </c>
      <c r="E45" s="89"/>
      <c r="F45" s="89">
        <f t="shared" si="0"/>
        <v>4</v>
      </c>
      <c r="G45" s="86" t="s">
        <v>411</v>
      </c>
      <c r="H45" t="s">
        <v>35</v>
      </c>
      <c r="I45" t="s">
        <v>38</v>
      </c>
      <c r="J45" t="s">
        <v>68</v>
      </c>
      <c r="K45">
        <v>0.33</v>
      </c>
      <c r="L45">
        <f t="shared" si="1"/>
        <v>0.7</v>
      </c>
    </row>
    <row r="46" spans="1:20" ht="21.75" customHeight="1" x14ac:dyDescent="0.2"/>
    <row r="47" spans="1:20" ht="21.75" customHeight="1" x14ac:dyDescent="0.2"/>
    <row r="48" spans="1:20" ht="21.75" customHeight="1" x14ac:dyDescent="0.2">
      <c r="A48" s="207" t="s">
        <v>419</v>
      </c>
      <c r="B48" s="207"/>
      <c r="C48" s="207"/>
      <c r="D48" s="207"/>
      <c r="E48" s="207"/>
      <c r="F48" s="207"/>
      <c r="H48" s="208"/>
      <c r="I48" s="208"/>
      <c r="J48" s="208"/>
      <c r="K48" s="208"/>
      <c r="L48" s="208"/>
      <c r="M48" s="208"/>
      <c r="N48" s="208"/>
      <c r="O48" s="208"/>
      <c r="P48" s="208"/>
      <c r="Q48" s="208"/>
      <c r="R48" s="208"/>
      <c r="S48" s="208"/>
      <c r="T48" s="208"/>
    </row>
    <row r="49" spans="1:47" ht="21.75" customHeight="1" x14ac:dyDescent="0.2">
      <c r="A49" s="90" t="s">
        <v>314</v>
      </c>
      <c r="B49" s="90" t="s">
        <v>138</v>
      </c>
      <c r="C49" s="221" t="s">
        <v>420</v>
      </c>
      <c r="D49" s="221"/>
      <c r="E49" s="221"/>
      <c r="F49" s="221"/>
      <c r="G49" s="90" t="s">
        <v>421</v>
      </c>
      <c r="K49" s="91" t="s">
        <v>47</v>
      </c>
      <c r="L49" s="92" t="s">
        <v>325</v>
      </c>
      <c r="M49" s="93" t="s">
        <v>334</v>
      </c>
      <c r="N49" s="94" t="s">
        <v>345</v>
      </c>
      <c r="O49" s="95" t="s">
        <v>352</v>
      </c>
      <c r="P49" s="96" t="s">
        <v>359</v>
      </c>
      <c r="Q49" s="97" t="s">
        <v>367</v>
      </c>
      <c r="R49" s="98" t="s">
        <v>375</v>
      </c>
      <c r="S49" s="99" t="s">
        <v>385</v>
      </c>
      <c r="T49" s="100" t="s">
        <v>390</v>
      </c>
    </row>
    <row r="50" spans="1:47" ht="21.75" customHeight="1" x14ac:dyDescent="0.2">
      <c r="A50" s="101" t="s">
        <v>325</v>
      </c>
      <c r="B50" s="102">
        <f t="shared" ref="B50:B61" si="2">IFERROR(ROUND((AVERAGEIF($D$10:$D$45,$A50,$F$10:$F$45)-1)/3*100,0),"")</f>
        <v>67</v>
      </c>
      <c r="C50" s="222" t="str">
        <f>IF($B50="","",IF($B50&lt;=39,"You prefer flexibility and don’t need strict rules or step-by-step instructions.",IF($B50&lt;=59,"You like some structure, but you’re also okay figuring things out as you go.","You prefer clear steps, clear expectations, and knowing exactly what ‘good’ looks like.")))</f>
        <v>You prefer clear steps, clear expectations, and knowing exactly what ‘good’ looks like.</v>
      </c>
      <c r="D50" s="222"/>
      <c r="E50" s="222"/>
      <c r="F50" s="222"/>
      <c r="G50" s="103" t="s">
        <v>422</v>
      </c>
      <c r="K50" s="104" t="s">
        <v>35</v>
      </c>
      <c r="L50" s="105">
        <v>100</v>
      </c>
      <c r="M50" s="105">
        <v>100</v>
      </c>
      <c r="N50" s="105">
        <v>67</v>
      </c>
      <c r="O50" s="105">
        <v>100</v>
      </c>
      <c r="P50" s="105">
        <v>67</v>
      </c>
      <c r="Q50" s="105">
        <v>33</v>
      </c>
      <c r="R50" s="105">
        <v>100</v>
      </c>
      <c r="S50" s="105">
        <v>100</v>
      </c>
      <c r="T50" s="105">
        <v>67</v>
      </c>
      <c r="U50" t="str">
        <f t="shared" ref="U50:U58" si="3">IF(L50&gt;=70,L$49,"")</f>
        <v>Structure &amp; Clarity</v>
      </c>
      <c r="V50" t="str">
        <f t="shared" ref="V50:V58" si="4">IF(M50&gt;=70,M$49,"")</f>
        <v>Pace &amp; Urgency</v>
      </c>
      <c r="W50" t="str">
        <f t="shared" ref="W50:W58" si="5">IF(N50&gt;=70,N$49,"")</f>
        <v/>
      </c>
      <c r="X50" t="str">
        <f t="shared" ref="X50:X58" si="6">IF(O50&gt;=70,O$49,"")</f>
        <v>Social Energy</v>
      </c>
      <c r="Y50" t="str">
        <f t="shared" ref="Y50:Y58" si="7">IF(P50&gt;=70,P$49,"")</f>
        <v/>
      </c>
      <c r="Z50" t="str">
        <f t="shared" ref="Z50:Z58" si="8">IF(Q50&gt;=70,Q$49,"")</f>
        <v/>
      </c>
      <c r="AA50" t="str">
        <f t="shared" ref="AA50:AA58" si="9">IF(R50&gt;=70,R$49,"")</f>
        <v>Comfort With Pressure</v>
      </c>
      <c r="AB50" t="str">
        <f t="shared" ref="AB50:AB58" si="10">IF(S50&gt;=70,S$49,"")</f>
        <v>Attention Environment</v>
      </c>
      <c r="AC50" t="str">
        <f t="shared" ref="AC50:AC58" si="11">IF(T50&gt;=70,T$49,"")</f>
        <v/>
      </c>
    </row>
    <row r="51" spans="1:47" ht="21.75" customHeight="1" x14ac:dyDescent="0.2">
      <c r="A51" s="106" t="s">
        <v>334</v>
      </c>
      <c r="B51" s="107">
        <f t="shared" si="2"/>
        <v>67</v>
      </c>
      <c r="C51" s="223" t="str">
        <f>IF($B51="","",IF($B51&lt;=39,"You prefer a steady pace with time to think and finish without rushing.",IF($B51&lt;=59,"You can handle a mix of steady and fast moments, depending on the situation.","You’re comfortable in fast-moving environments where quick action is often needed.")))</f>
        <v>You’re comfortable in fast-moving environments where quick action is often needed.</v>
      </c>
      <c r="D51" s="223"/>
      <c r="E51" s="223"/>
      <c r="F51" s="223"/>
      <c r="G51" s="103" t="s">
        <v>423</v>
      </c>
      <c r="K51" s="108" t="s">
        <v>68</v>
      </c>
      <c r="L51" s="105">
        <v>100</v>
      </c>
      <c r="M51" s="105">
        <v>100</v>
      </c>
      <c r="N51" s="105">
        <v>67</v>
      </c>
      <c r="O51" s="105">
        <v>67</v>
      </c>
      <c r="P51" s="105">
        <v>100</v>
      </c>
      <c r="Q51" s="105">
        <v>67</v>
      </c>
      <c r="R51" s="105">
        <v>100</v>
      </c>
      <c r="S51" s="105">
        <v>100</v>
      </c>
      <c r="T51" s="105">
        <v>100</v>
      </c>
      <c r="U51" t="str">
        <f t="shared" si="3"/>
        <v>Structure &amp; Clarity</v>
      </c>
      <c r="V51" t="str">
        <f t="shared" si="4"/>
        <v>Pace &amp; Urgency</v>
      </c>
      <c r="W51" t="str">
        <f t="shared" si="5"/>
        <v/>
      </c>
      <c r="X51" t="str">
        <f t="shared" si="6"/>
        <v/>
      </c>
      <c r="Y51" t="str">
        <f t="shared" si="7"/>
        <v>Teamwork vs Solo Focus</v>
      </c>
      <c r="Z51" t="str">
        <f t="shared" si="8"/>
        <v/>
      </c>
      <c r="AA51" t="str">
        <f t="shared" si="9"/>
        <v>Comfort With Pressure</v>
      </c>
      <c r="AB51" t="str">
        <f t="shared" si="10"/>
        <v>Attention Environment</v>
      </c>
      <c r="AC51" t="str">
        <f t="shared" si="11"/>
        <v>Work Setting</v>
      </c>
    </row>
    <row r="52" spans="1:47" ht="21.75" customHeight="1" x14ac:dyDescent="0.2">
      <c r="A52" s="109" t="s">
        <v>345</v>
      </c>
      <c r="B52" s="110">
        <f t="shared" si="2"/>
        <v>0</v>
      </c>
      <c r="C52" s="216" t="str">
        <f>IF($B52="","",IF($B52&lt;=39,"You prefer predictable routines and doing similar types of tasks regularly.",IF($B52&lt;=59,"You like a balance of familiar routines and occasional change.","You prefer variety, change, and doing different tasks from day to day.")))</f>
        <v>You prefer predictable routines and doing similar types of tasks regularly.</v>
      </c>
      <c r="D52" s="216"/>
      <c r="E52" s="216"/>
      <c r="F52" s="216"/>
      <c r="G52" s="103" t="s">
        <v>424</v>
      </c>
      <c r="K52" s="111" t="s">
        <v>77</v>
      </c>
      <c r="L52" s="105">
        <v>100</v>
      </c>
      <c r="M52" s="105">
        <v>67</v>
      </c>
      <c r="N52" s="105">
        <v>67</v>
      </c>
      <c r="O52" s="105">
        <v>100</v>
      </c>
      <c r="P52" s="105">
        <v>67</v>
      </c>
      <c r="Q52" s="105">
        <v>33</v>
      </c>
      <c r="R52" s="105">
        <v>67</v>
      </c>
      <c r="S52" s="105">
        <v>100</v>
      </c>
      <c r="T52" s="105">
        <v>33</v>
      </c>
      <c r="U52" t="str">
        <f t="shared" si="3"/>
        <v>Structure &amp; Clarity</v>
      </c>
      <c r="V52" t="str">
        <f t="shared" si="4"/>
        <v/>
      </c>
      <c r="W52" t="str">
        <f t="shared" si="5"/>
        <v/>
      </c>
      <c r="X52" t="str">
        <f t="shared" si="6"/>
        <v>Social Energy</v>
      </c>
      <c r="Y52" t="str">
        <f t="shared" si="7"/>
        <v/>
      </c>
      <c r="Z52" t="str">
        <f t="shared" si="8"/>
        <v/>
      </c>
      <c r="AA52" t="str">
        <f t="shared" si="9"/>
        <v/>
      </c>
      <c r="AB52" t="str">
        <f t="shared" si="10"/>
        <v>Attention Environment</v>
      </c>
      <c r="AC52" t="str">
        <f t="shared" si="11"/>
        <v/>
      </c>
    </row>
    <row r="53" spans="1:47" ht="21.75" customHeight="1" x14ac:dyDescent="0.2">
      <c r="A53" s="112" t="s">
        <v>352</v>
      </c>
      <c r="B53" s="113">
        <f t="shared" si="2"/>
        <v>50</v>
      </c>
      <c r="C53" s="217" t="str">
        <f>IF($B53="","",IF($B53&lt;=39,"You prefer lower-social environments and don’t need constant interaction to do well.",IF($B53&lt;=59,"You’re okay with a mix of people time and quiet time.","You enjoy people-heavy environments where talking and interacting is a big part of the day.")))</f>
        <v>You’re okay with a mix of people time and quiet time.</v>
      </c>
      <c r="D53" s="217"/>
      <c r="E53" s="217"/>
      <c r="F53" s="217"/>
      <c r="G53" s="103" t="s">
        <v>370</v>
      </c>
      <c r="K53" s="114" t="s">
        <v>38</v>
      </c>
      <c r="L53" s="105">
        <v>67</v>
      </c>
      <c r="M53" s="105">
        <v>67</v>
      </c>
      <c r="N53" s="105">
        <v>67</v>
      </c>
      <c r="O53" s="105">
        <v>33</v>
      </c>
      <c r="P53" s="105">
        <v>67</v>
      </c>
      <c r="Q53" s="105">
        <v>67</v>
      </c>
      <c r="R53" s="105">
        <v>67</v>
      </c>
      <c r="S53" s="105">
        <v>67</v>
      </c>
      <c r="T53" s="105">
        <v>100</v>
      </c>
      <c r="U53" t="str">
        <f t="shared" si="3"/>
        <v/>
      </c>
      <c r="V53" t="str">
        <f t="shared" si="4"/>
        <v/>
      </c>
      <c r="W53" t="str">
        <f t="shared" si="5"/>
        <v/>
      </c>
      <c r="X53" t="str">
        <f t="shared" si="6"/>
        <v/>
      </c>
      <c r="Y53" t="str">
        <f t="shared" si="7"/>
        <v/>
      </c>
      <c r="Z53" t="str">
        <f t="shared" si="8"/>
        <v/>
      </c>
      <c r="AA53" t="str">
        <f t="shared" si="9"/>
        <v/>
      </c>
      <c r="AB53" t="str">
        <f t="shared" si="10"/>
        <v/>
      </c>
      <c r="AC53" t="str">
        <f t="shared" si="11"/>
        <v>Work Setting</v>
      </c>
    </row>
    <row r="54" spans="1:47" ht="21.75" customHeight="1" x14ac:dyDescent="0.2">
      <c r="A54" s="115" t="s">
        <v>359</v>
      </c>
      <c r="B54" s="116">
        <f t="shared" si="2"/>
        <v>67</v>
      </c>
      <c r="C54" s="218" t="str">
        <f>IF($B54="","",IF($B54&lt;=39,"You do best with independent work time where you can own tasks yourself.",IF($B54&lt;=59,"You can work well both independently and with a team when needed.","You prefer working closely with others and getting things done as a team.")))</f>
        <v>You prefer working closely with others and getting things done as a team.</v>
      </c>
      <c r="D54" s="218"/>
      <c r="E54" s="218"/>
      <c r="F54" s="218"/>
      <c r="G54" s="103" t="s">
        <v>425</v>
      </c>
      <c r="K54" s="117" t="s">
        <v>39</v>
      </c>
      <c r="L54" s="105">
        <v>67</v>
      </c>
      <c r="M54" s="105">
        <v>33</v>
      </c>
      <c r="N54" s="105">
        <v>67</v>
      </c>
      <c r="O54" s="105">
        <v>33</v>
      </c>
      <c r="P54" s="105">
        <v>67</v>
      </c>
      <c r="Q54" s="105">
        <v>67</v>
      </c>
      <c r="R54" s="105">
        <v>67</v>
      </c>
      <c r="S54" s="105">
        <v>0</v>
      </c>
      <c r="T54" s="105">
        <v>0</v>
      </c>
      <c r="U54" t="str">
        <f t="shared" si="3"/>
        <v/>
      </c>
      <c r="V54" t="str">
        <f t="shared" si="4"/>
        <v/>
      </c>
      <c r="W54" t="str">
        <f t="shared" si="5"/>
        <v/>
      </c>
      <c r="X54" t="str">
        <f t="shared" si="6"/>
        <v/>
      </c>
      <c r="Y54" t="str">
        <f t="shared" si="7"/>
        <v/>
      </c>
      <c r="Z54" t="str">
        <f t="shared" si="8"/>
        <v/>
      </c>
      <c r="AA54" t="str">
        <f t="shared" si="9"/>
        <v/>
      </c>
      <c r="AB54" t="str">
        <f t="shared" si="10"/>
        <v/>
      </c>
      <c r="AC54" t="str">
        <f t="shared" si="11"/>
        <v/>
      </c>
    </row>
    <row r="55" spans="1:47" ht="21.75" customHeight="1" x14ac:dyDescent="0.2">
      <c r="A55" s="118" t="s">
        <v>367</v>
      </c>
      <c r="B55" s="119">
        <f t="shared" si="2"/>
        <v>67</v>
      </c>
      <c r="C55" s="219" t="str">
        <f>IF($B55="","",IF($B55&lt;=39,"You prefer guidance, check-ins, and clear direction while you work.",IF($B55&lt;=59,"You like some freedom, but also want support when things get unclear.","You prefer ownership and freedom to choose how you work and solve problems.")))</f>
        <v>You prefer ownership and freedom to choose how you work and solve problems.</v>
      </c>
      <c r="D55" s="219"/>
      <c r="E55" s="219"/>
      <c r="F55" s="219"/>
      <c r="G55" s="103" t="s">
        <v>426</v>
      </c>
      <c r="K55" s="120" t="s">
        <v>139</v>
      </c>
      <c r="L55" s="105">
        <v>33</v>
      </c>
      <c r="M55" s="105">
        <v>100</v>
      </c>
      <c r="N55" s="105">
        <v>100</v>
      </c>
      <c r="O55" s="105">
        <v>100</v>
      </c>
      <c r="P55" s="105">
        <v>100</v>
      </c>
      <c r="Q55" s="105">
        <v>100</v>
      </c>
      <c r="R55" s="105">
        <v>67</v>
      </c>
      <c r="S55" s="105">
        <v>100</v>
      </c>
      <c r="T55" s="105">
        <v>33</v>
      </c>
      <c r="U55" t="str">
        <f t="shared" si="3"/>
        <v/>
      </c>
      <c r="V55" t="str">
        <f t="shared" si="4"/>
        <v>Pace &amp; Urgency</v>
      </c>
      <c r="W55" t="str">
        <f t="shared" si="5"/>
        <v>Variety vs Routine</v>
      </c>
      <c r="X55" t="str">
        <f t="shared" si="6"/>
        <v>Social Energy</v>
      </c>
      <c r="Y55" t="str">
        <f t="shared" si="7"/>
        <v>Teamwork vs Solo Focus</v>
      </c>
      <c r="Z55" t="str">
        <f t="shared" si="8"/>
        <v>Independence &amp; Autonomy</v>
      </c>
      <c r="AA55" t="str">
        <f t="shared" si="9"/>
        <v/>
      </c>
      <c r="AB55" t="str">
        <f t="shared" si="10"/>
        <v>Attention Environment</v>
      </c>
      <c r="AC55" t="str">
        <f t="shared" si="11"/>
        <v/>
      </c>
    </row>
    <row r="56" spans="1:47" ht="21.75" customHeight="1" x14ac:dyDescent="0.2">
      <c r="A56" s="121" t="s">
        <v>375</v>
      </c>
      <c r="B56" s="122">
        <f t="shared" si="2"/>
        <v>67</v>
      </c>
      <c r="C56" s="220" t="str">
        <f>IF($B56="","",IF($B56&lt;=39,"You prefer calmer settings where mistakes aren’t high-stakes and stress stays lower.",IF($B56&lt;=59,"You can handle pressure sometimes, especially when you feel prepared and supported.","You can handle intense moments and high responsibility without shutting down.")))</f>
        <v>You can handle intense moments and high responsibility without shutting down.</v>
      </c>
      <c r="D56" s="220"/>
      <c r="E56" s="220"/>
      <c r="F56" s="220"/>
      <c r="G56" s="103" t="s">
        <v>427</v>
      </c>
      <c r="K56" s="123" t="s">
        <v>41</v>
      </c>
      <c r="L56" s="105">
        <v>33</v>
      </c>
      <c r="M56" s="105">
        <v>33</v>
      </c>
      <c r="N56" s="105">
        <v>100</v>
      </c>
      <c r="O56" s="105">
        <v>67</v>
      </c>
      <c r="P56" s="105">
        <v>33</v>
      </c>
      <c r="Q56" s="105">
        <v>100</v>
      </c>
      <c r="R56" s="105">
        <v>67</v>
      </c>
      <c r="S56" s="105">
        <v>33</v>
      </c>
      <c r="T56" s="105">
        <v>33</v>
      </c>
      <c r="U56" t="str">
        <f t="shared" si="3"/>
        <v/>
      </c>
      <c r="V56" t="str">
        <f t="shared" si="4"/>
        <v/>
      </c>
      <c r="W56" t="str">
        <f t="shared" si="5"/>
        <v>Variety vs Routine</v>
      </c>
      <c r="X56" t="str">
        <f t="shared" si="6"/>
        <v/>
      </c>
      <c r="Y56" t="str">
        <f t="shared" si="7"/>
        <v/>
      </c>
      <c r="Z56" t="str">
        <f t="shared" si="8"/>
        <v>Independence &amp; Autonomy</v>
      </c>
      <c r="AA56" t="str">
        <f t="shared" si="9"/>
        <v/>
      </c>
      <c r="AB56" t="str">
        <f t="shared" si="10"/>
        <v/>
      </c>
      <c r="AC56" t="str">
        <f t="shared" si="11"/>
        <v/>
      </c>
    </row>
    <row r="57" spans="1:47" ht="21.75" customHeight="1" x14ac:dyDescent="0.2">
      <c r="A57" s="124" t="s">
        <v>385</v>
      </c>
      <c r="B57" s="125">
        <f t="shared" si="2"/>
        <v>50</v>
      </c>
      <c r="C57" s="211" t="str">
        <f>IF($B57="","",IF($B57&lt;=39,"You do best with deep focus time and fewer interruptions.",IF($B57&lt;=59,"You can handle some interruptions, but you still benefit from focus time.","You’re comfortable switching tasks and handling frequent interruptions during the day.")))</f>
        <v>You can handle some interruptions, but you still benefit from focus time.</v>
      </c>
      <c r="D57" s="211"/>
      <c r="E57" s="211"/>
      <c r="F57" s="211"/>
      <c r="G57" s="103" t="s">
        <v>428</v>
      </c>
      <c r="K57" s="126" t="s">
        <v>119</v>
      </c>
      <c r="L57" s="105">
        <v>67</v>
      </c>
      <c r="M57" s="105">
        <v>100</v>
      </c>
      <c r="N57" s="105">
        <v>100</v>
      </c>
      <c r="O57" s="105">
        <v>100</v>
      </c>
      <c r="P57" s="105">
        <v>100</v>
      </c>
      <c r="Q57" s="105">
        <v>33</v>
      </c>
      <c r="R57" s="105">
        <v>67</v>
      </c>
      <c r="S57" s="105">
        <v>100</v>
      </c>
      <c r="T57" s="105">
        <v>100</v>
      </c>
      <c r="U57" t="str">
        <f t="shared" si="3"/>
        <v/>
      </c>
      <c r="V57" t="str">
        <f t="shared" si="4"/>
        <v>Pace &amp; Urgency</v>
      </c>
      <c r="W57" t="str">
        <f t="shared" si="5"/>
        <v>Variety vs Routine</v>
      </c>
      <c r="X57" t="str">
        <f t="shared" si="6"/>
        <v>Social Energy</v>
      </c>
      <c r="Y57" t="str">
        <f t="shared" si="7"/>
        <v>Teamwork vs Solo Focus</v>
      </c>
      <c r="Z57" t="str">
        <f t="shared" si="8"/>
        <v/>
      </c>
      <c r="AA57" t="str">
        <f t="shared" si="9"/>
        <v/>
      </c>
      <c r="AB57" t="str">
        <f t="shared" si="10"/>
        <v>Attention Environment</v>
      </c>
      <c r="AC57" t="str">
        <f t="shared" si="11"/>
        <v>Work Setting</v>
      </c>
    </row>
    <row r="58" spans="1:47" ht="21.75" customHeight="1" x14ac:dyDescent="0.2">
      <c r="A58" s="127" t="s">
        <v>390</v>
      </c>
      <c r="B58" s="128">
        <f t="shared" si="2"/>
        <v>67</v>
      </c>
      <c r="C58" s="212" t="str">
        <f>IF($B58="","",IF($B58&lt;=39,"You prefer stable, indoor, more stationary work settings.",IF($B58&lt;=59,"You’re okay with a mix of sitting, moving, and different settings.","You prefer active work where you’re moving around and/or working outdoors or hands-on.")))</f>
        <v>You prefer active work where you’re moving around and/or working outdoors or hands-on.</v>
      </c>
      <c r="D58" s="212"/>
      <c r="E58" s="212"/>
      <c r="F58" s="212"/>
      <c r="G58" s="103" t="s">
        <v>429</v>
      </c>
      <c r="K58" s="111" t="s">
        <v>43</v>
      </c>
      <c r="L58" s="105">
        <v>67</v>
      </c>
      <c r="M58" s="105">
        <v>67</v>
      </c>
      <c r="N58" s="105">
        <v>67</v>
      </c>
      <c r="O58" s="105">
        <v>33</v>
      </c>
      <c r="P58" s="105">
        <v>67</v>
      </c>
      <c r="Q58" s="105">
        <v>67</v>
      </c>
      <c r="R58" s="105">
        <v>67</v>
      </c>
      <c r="S58" s="105">
        <v>67</v>
      </c>
      <c r="T58" s="105">
        <v>100</v>
      </c>
      <c r="U58" t="str">
        <f t="shared" si="3"/>
        <v/>
      </c>
      <c r="V58" t="str">
        <f t="shared" si="4"/>
        <v/>
      </c>
      <c r="W58" t="str">
        <f t="shared" si="5"/>
        <v/>
      </c>
      <c r="X58" t="str">
        <f t="shared" si="6"/>
        <v/>
      </c>
      <c r="Y58" t="str">
        <f t="shared" si="7"/>
        <v/>
      </c>
      <c r="Z58" t="str">
        <f t="shared" si="8"/>
        <v/>
      </c>
      <c r="AA58" t="str">
        <f t="shared" si="9"/>
        <v/>
      </c>
      <c r="AB58" t="str">
        <f t="shared" si="10"/>
        <v/>
      </c>
      <c r="AC58" t="str">
        <f t="shared" si="11"/>
        <v>Work Setting</v>
      </c>
    </row>
    <row r="59" spans="1:47" ht="21.75" customHeight="1" x14ac:dyDescent="0.2">
      <c r="A59" s="129" t="s">
        <v>398</v>
      </c>
      <c r="B59" s="130">
        <f t="shared" si="2"/>
        <v>100</v>
      </c>
      <c r="C59" s="213" t="str">
        <f>IF($B59="","",IF($B59&lt;=39,"You prefer hands-on, practical problems where you can build, fix, or do.",IF($B59&lt;=59,"You enjoy both hands-on tasks and idea-based thinking, depending on the situation.","You prefer idea-based problems like planning, analyzing, designing, or strategizing.")))</f>
        <v>You prefer idea-based problems like planning, analyzing, designing, or strategizing.</v>
      </c>
      <c r="D59" s="213"/>
      <c r="E59" s="213"/>
      <c r="F59" s="213"/>
      <c r="G59" s="49" t="s">
        <v>430</v>
      </c>
    </row>
    <row r="60" spans="1:47" ht="21.75" customHeight="1" x14ac:dyDescent="0.2">
      <c r="A60" s="131" t="s">
        <v>406</v>
      </c>
      <c r="B60" s="132">
        <f t="shared" si="2"/>
        <v>100</v>
      </c>
      <c r="C60" s="214" t="str">
        <f>IF($B60="","",IF($B60&lt;=39,"You prefer being trusted to work things out with fewer check-ins.",IF($B60&lt;=59,"You like some feedback, especially at the start, but not constant supervision.","You prefer frequent coaching and quick feedback to help you improve as you go.")))</f>
        <v>You prefer frequent coaching and quick feedback to help you improve as you go.</v>
      </c>
      <c r="D60" s="214"/>
      <c r="E60" s="214"/>
      <c r="F60" s="214"/>
      <c r="G60" s="49" t="s">
        <v>431</v>
      </c>
    </row>
    <row r="61" spans="1:47" ht="21.75" customHeight="1" x14ac:dyDescent="0.2">
      <c r="A61" s="133" t="s">
        <v>414</v>
      </c>
      <c r="B61" s="134">
        <f t="shared" si="2"/>
        <v>100</v>
      </c>
      <c r="C61" s="215" t="str">
        <f>IF($B61="","",IF($B61&lt;=39,"You prefer moving fast and getting lots done, even if it’s not perfect.",IF($B61&lt;=59,"You can balance speed and quality depending on the goal.","You prefer accuracy and high-quality work, even if it takes more time.")))</f>
        <v>You prefer accuracy and high-quality work, even if it takes more time.</v>
      </c>
      <c r="D61" s="215"/>
      <c r="E61" s="215"/>
      <c r="F61" s="215"/>
      <c r="G61" s="49" t="s">
        <v>432</v>
      </c>
    </row>
    <row r="62" spans="1:47" ht="21.75" customHeight="1" x14ac:dyDescent="0.2">
      <c r="A62" s="207" t="s">
        <v>433</v>
      </c>
      <c r="B62" s="207"/>
      <c r="C62" s="207"/>
      <c r="D62" s="207"/>
      <c r="E62" s="207"/>
      <c r="F62" s="207"/>
    </row>
    <row r="63" spans="1:47" ht="21.75" customHeight="1" x14ac:dyDescent="0.2">
      <c r="A63" s="90" t="s">
        <v>135</v>
      </c>
      <c r="B63" s="90" t="s">
        <v>434</v>
      </c>
      <c r="C63" s="90" t="s">
        <v>137</v>
      </c>
      <c r="D63" s="49" t="s">
        <v>435</v>
      </c>
      <c r="E63" s="49" t="s">
        <v>436</v>
      </c>
      <c r="H63" s="208"/>
      <c r="I63" s="208"/>
      <c r="J63" s="208"/>
      <c r="K63" s="208"/>
      <c r="L63" s="208"/>
      <c r="M63" s="208"/>
      <c r="N63" s="208"/>
      <c r="O63" s="208"/>
      <c r="P63" s="208"/>
      <c r="Q63" s="208"/>
      <c r="R63" s="208"/>
      <c r="S63" s="208"/>
      <c r="T63" s="208"/>
      <c r="AJ63" t="s">
        <v>437</v>
      </c>
      <c r="AK63" t="s">
        <v>438</v>
      </c>
      <c r="AL63" t="s">
        <v>439</v>
      </c>
      <c r="AM63" t="s">
        <v>440</v>
      </c>
      <c r="AN63" t="s">
        <v>441</v>
      </c>
      <c r="AO63" t="s">
        <v>442</v>
      </c>
      <c r="AP63" t="s">
        <v>443</v>
      </c>
      <c r="AQ63" t="s">
        <v>444</v>
      </c>
      <c r="AR63" t="s">
        <v>445</v>
      </c>
      <c r="AS63" t="s">
        <v>446</v>
      </c>
      <c r="AT63" t="s">
        <v>447</v>
      </c>
      <c r="AU63" t="s">
        <v>448</v>
      </c>
    </row>
    <row r="64" spans="1:47" ht="21.75" customHeight="1" x14ac:dyDescent="0.2">
      <c r="A64" s="28" t="s">
        <v>35</v>
      </c>
      <c r="B64" s="29">
        <f>IF($D64="","",$D64)</f>
        <v>81</v>
      </c>
      <c r="C64" s="135" t="str">
        <f>IF($B64="","",IF($B64&gt;=Admin_Settings!$B$3,Admin_Settings!$B$7,IF($B64&gt;=Admin_Settings!$B$4,Admin_Settings!$B$8,IF($B64&gt;=Admin_Settings!$B$5,Admin_Settings!$B$9,IF($B64&gt;=Admin_Settings!$B$6,Admin_Settings!$B$10,Admin_Settings!$B$11)))))</f>
        <v>Strong Fit</v>
      </c>
      <c r="D64" s="136">
        <f t="shared" ref="D64:D72" si="12">IF(SUMPRODUCT(($F$10:$F$45&lt;&gt;"")*$L$10:$L$45*((--($H$10:$H$45=$A64))+(--($I$10:$I$45=$A64))+(--($J$10:$J$45=$A64))*$K$10:$K$45))&lt;4,"",ROUND(((SUMPRODUCT(($F$10:$F$45&lt;&gt;"")*$F$10:$F$45*$L$10:$L$45*((--($H$10:$H$45=$A64))+(--($I$10:$I$45=$A64))+(--($J$10:$J$45=$A64))*$K$10:$K$45))/SUMPRODUCT(($F$10:$F$45&lt;&gt;"")*$L$10:$L$45*((--($H$10:$H$45=$A64))+(--($I$10:$I$45=$A64))+(--($J$10:$J$45=$A64))*$K$10:$K$45)))-1)/3*100,0))</f>
        <v>81</v>
      </c>
      <c r="K64" s="91" t="s">
        <v>47</v>
      </c>
      <c r="L64" s="92" t="s">
        <v>325</v>
      </c>
      <c r="M64" s="93" t="s">
        <v>334</v>
      </c>
      <c r="N64" s="94" t="s">
        <v>345</v>
      </c>
      <c r="O64" s="95" t="s">
        <v>352</v>
      </c>
      <c r="P64" s="96" t="s">
        <v>359</v>
      </c>
      <c r="Q64" s="97" t="s">
        <v>367</v>
      </c>
      <c r="R64" s="98" t="s">
        <v>375</v>
      </c>
      <c r="S64" s="99" t="s">
        <v>385</v>
      </c>
      <c r="T64" s="100" t="s">
        <v>390</v>
      </c>
      <c r="U64" t="s">
        <v>398</v>
      </c>
      <c r="V64" t="s">
        <v>406</v>
      </c>
      <c r="W64" t="s">
        <v>414</v>
      </c>
      <c r="X64">
        <f t="shared" ref="X64:X72" si="13">ABS($B$50-50)*L65</f>
        <v>68</v>
      </c>
      <c r="Y64">
        <f t="shared" ref="Y64:Y72" si="14">ABS($B$51-50)*M65</f>
        <v>68</v>
      </c>
      <c r="Z64">
        <f t="shared" ref="Z64:Z72" si="15">ABS($B$52-50)*N65</f>
        <v>150</v>
      </c>
      <c r="AA64">
        <f t="shared" ref="AA64:AA72" si="16">ABS($B$53-50)*O65</f>
        <v>0</v>
      </c>
      <c r="AB64">
        <f t="shared" ref="AB64:AB72" si="17">ABS($B$54-50)*P65</f>
        <v>51</v>
      </c>
      <c r="AC64">
        <f t="shared" ref="AC64:AC72" si="18">ABS($B$55-50)*Q65</f>
        <v>34</v>
      </c>
      <c r="AD64">
        <f t="shared" ref="AD64:AD72" si="19">ABS($B$56-50)*R65</f>
        <v>68</v>
      </c>
      <c r="AE64">
        <f t="shared" ref="AE64:AE72" si="20">ABS($B$57-50)*S65</f>
        <v>0</v>
      </c>
      <c r="AF64">
        <f t="shared" ref="AF64:AF72" si="21">ABS($B$58-50)*T65</f>
        <v>34</v>
      </c>
      <c r="AG64">
        <f t="shared" ref="AG64:AG72" si="22">ABS($B$59-50)*U65</f>
        <v>150</v>
      </c>
      <c r="AH64">
        <f t="shared" ref="AH64:AH72" si="23">ABS($B$60-50)*V65</f>
        <v>200</v>
      </c>
      <c r="AI64">
        <f t="shared" ref="AI64:AI72" si="24">ABS($B$61-50)*W65</f>
        <v>200</v>
      </c>
      <c r="AJ64">
        <v>10</v>
      </c>
      <c r="AK64">
        <v>13</v>
      </c>
      <c r="AL64">
        <v>19</v>
      </c>
      <c r="AM64">
        <v>28</v>
      </c>
      <c r="AN64" t="s">
        <v>449</v>
      </c>
      <c r="AO64" t="s">
        <v>450</v>
      </c>
      <c r="AP64" t="s">
        <v>451</v>
      </c>
      <c r="AQ64" t="s">
        <v>452</v>
      </c>
      <c r="AR64" t="s">
        <v>325</v>
      </c>
      <c r="AS64" t="s">
        <v>334</v>
      </c>
      <c r="AT64" t="s">
        <v>352</v>
      </c>
      <c r="AU64" t="s">
        <v>375</v>
      </c>
    </row>
    <row r="65" spans="1:47" ht="21.75" customHeight="1" x14ac:dyDescent="0.2">
      <c r="A65" s="31" t="s">
        <v>68</v>
      </c>
      <c r="B65" s="32">
        <f>IF($D65="","",IF($E65&lt;2,MIN($D65,55),$D65))</f>
        <v>66</v>
      </c>
      <c r="C65" s="135" t="str">
        <f>IF($B65="","",IF($B65&gt;=Admin_Settings!$B$3,Admin_Settings!$B$7,IF($B65&gt;=Admin_Settings!$B$4,Admin_Settings!$B$8,IF($B65&gt;=Admin_Settings!$B$5,Admin_Settings!$B$9,IF($B65&gt;=Admin_Settings!$B$6,Admin_Settings!$B$10,Admin_Settings!$B$11)))))</f>
        <v>Moderate Fit</v>
      </c>
      <c r="D65" s="136">
        <f t="shared" si="12"/>
        <v>66</v>
      </c>
      <c r="E65" s="49">
        <f>SUMPRODUCT(--ISNUMBER(MATCH($C$10:$C$45,{"CON09","CON12","CON22","CON32"},0)),--($F$10:$F$45&gt;=3))</f>
        <v>4</v>
      </c>
      <c r="K65" s="104" t="s">
        <v>35</v>
      </c>
      <c r="L65" s="105">
        <v>4</v>
      </c>
      <c r="M65" s="105">
        <v>4</v>
      </c>
      <c r="N65" s="105">
        <v>3</v>
      </c>
      <c r="O65" s="105">
        <v>4</v>
      </c>
      <c r="P65" s="105">
        <v>3</v>
      </c>
      <c r="Q65" s="105">
        <v>2</v>
      </c>
      <c r="R65" s="105">
        <v>4</v>
      </c>
      <c r="S65" s="105">
        <v>4</v>
      </c>
      <c r="T65" s="105">
        <v>2</v>
      </c>
      <c r="U65">
        <v>3</v>
      </c>
      <c r="V65">
        <v>4</v>
      </c>
      <c r="W65">
        <v>4</v>
      </c>
      <c r="X65">
        <f t="shared" si="13"/>
        <v>68</v>
      </c>
      <c r="Y65">
        <f t="shared" si="14"/>
        <v>68</v>
      </c>
      <c r="Z65">
        <f t="shared" si="15"/>
        <v>150</v>
      </c>
      <c r="AA65">
        <f t="shared" si="16"/>
        <v>0</v>
      </c>
      <c r="AB65">
        <f t="shared" si="17"/>
        <v>68</v>
      </c>
      <c r="AC65">
        <f t="shared" si="18"/>
        <v>51</v>
      </c>
      <c r="AD65">
        <f t="shared" si="19"/>
        <v>68</v>
      </c>
      <c r="AE65">
        <f t="shared" si="20"/>
        <v>0</v>
      </c>
      <c r="AF65">
        <f t="shared" si="21"/>
        <v>68</v>
      </c>
      <c r="AG65">
        <f t="shared" si="22"/>
        <v>200</v>
      </c>
      <c r="AH65">
        <f t="shared" si="23"/>
        <v>150</v>
      </c>
      <c r="AI65">
        <f t="shared" si="24"/>
        <v>200</v>
      </c>
      <c r="AJ65">
        <v>10</v>
      </c>
      <c r="AK65">
        <v>13</v>
      </c>
      <c r="AL65">
        <v>22</v>
      </c>
      <c r="AM65">
        <v>28</v>
      </c>
      <c r="AN65" t="s">
        <v>449</v>
      </c>
      <c r="AO65" t="s">
        <v>450</v>
      </c>
      <c r="AP65" t="s">
        <v>453</v>
      </c>
      <c r="AQ65" t="s">
        <v>452</v>
      </c>
      <c r="AR65" t="s">
        <v>325</v>
      </c>
      <c r="AS65" t="s">
        <v>334</v>
      </c>
      <c r="AT65" t="s">
        <v>359</v>
      </c>
      <c r="AU65" t="s">
        <v>375</v>
      </c>
    </row>
    <row r="66" spans="1:47" ht="21.75" customHeight="1" x14ac:dyDescent="0.2">
      <c r="A66" s="33" t="s">
        <v>77</v>
      </c>
      <c r="B66" s="34">
        <f t="shared" ref="B66:B72" si="25">IF($D66="","",$D66)</f>
        <v>80</v>
      </c>
      <c r="C66" s="135" t="str">
        <f>IF($B66="","",IF($B66&gt;=Admin_Settings!$B$3,Admin_Settings!$B$7,IF($B66&gt;=Admin_Settings!$B$4,Admin_Settings!$B$8,IF($B66&gt;=Admin_Settings!$B$5,Admin_Settings!$B$9,IF($B66&gt;=Admin_Settings!$B$6,Admin_Settings!$B$10,Admin_Settings!$B$11)))))</f>
        <v>Strong Fit</v>
      </c>
      <c r="D66" s="136">
        <f t="shared" si="12"/>
        <v>80</v>
      </c>
      <c r="K66" s="108" t="s">
        <v>68</v>
      </c>
      <c r="L66" s="105">
        <v>4</v>
      </c>
      <c r="M66" s="105">
        <v>4</v>
      </c>
      <c r="N66" s="105">
        <v>3</v>
      </c>
      <c r="O66" s="105">
        <v>3</v>
      </c>
      <c r="P66" s="105">
        <v>4</v>
      </c>
      <c r="Q66" s="105">
        <v>3</v>
      </c>
      <c r="R66" s="105">
        <v>4</v>
      </c>
      <c r="S66" s="105">
        <v>3</v>
      </c>
      <c r="T66" s="105">
        <v>4</v>
      </c>
      <c r="U66">
        <v>4</v>
      </c>
      <c r="V66">
        <v>3</v>
      </c>
      <c r="W66">
        <v>4</v>
      </c>
      <c r="X66">
        <f t="shared" si="13"/>
        <v>68</v>
      </c>
      <c r="Y66">
        <f t="shared" si="14"/>
        <v>51</v>
      </c>
      <c r="Z66">
        <f t="shared" si="15"/>
        <v>150</v>
      </c>
      <c r="AA66">
        <f t="shared" si="16"/>
        <v>0</v>
      </c>
      <c r="AB66">
        <f t="shared" si="17"/>
        <v>51</v>
      </c>
      <c r="AC66">
        <f t="shared" si="18"/>
        <v>34</v>
      </c>
      <c r="AD66">
        <f t="shared" si="19"/>
        <v>51</v>
      </c>
      <c r="AE66">
        <f t="shared" si="20"/>
        <v>0</v>
      </c>
      <c r="AF66">
        <f t="shared" si="21"/>
        <v>34</v>
      </c>
      <c r="AG66">
        <f t="shared" si="22"/>
        <v>100</v>
      </c>
      <c r="AH66">
        <f t="shared" si="23"/>
        <v>200</v>
      </c>
      <c r="AI66">
        <f t="shared" si="24"/>
        <v>150</v>
      </c>
      <c r="AJ66">
        <v>10</v>
      </c>
      <c r="AK66">
        <v>19</v>
      </c>
      <c r="AL66">
        <v>40</v>
      </c>
      <c r="AM66">
        <v>13</v>
      </c>
      <c r="AN66" t="s">
        <v>449</v>
      </c>
      <c r="AO66" t="s">
        <v>451</v>
      </c>
      <c r="AP66" t="s">
        <v>454</v>
      </c>
      <c r="AQ66" t="s">
        <v>450</v>
      </c>
      <c r="AR66" t="s">
        <v>325</v>
      </c>
      <c r="AS66" t="s">
        <v>352</v>
      </c>
      <c r="AT66" t="s">
        <v>406</v>
      </c>
      <c r="AU66" t="s">
        <v>334</v>
      </c>
    </row>
    <row r="67" spans="1:47" ht="21.75" customHeight="1" x14ac:dyDescent="0.2">
      <c r="A67" s="35" t="s">
        <v>38</v>
      </c>
      <c r="B67" s="36">
        <f t="shared" si="25"/>
        <v>70</v>
      </c>
      <c r="C67" s="135" t="str">
        <f>IF($B67="","",IF($B67&gt;=Admin_Settings!$B$3,Admin_Settings!$B$7,IF($B67&gt;=Admin_Settings!$B$4,Admin_Settings!$B$8,IF($B67&gt;=Admin_Settings!$B$5,Admin_Settings!$B$9,IF($B67&gt;=Admin_Settings!$B$6,Admin_Settings!$B$10,Admin_Settings!$B$11)))))</f>
        <v>Strong Fit</v>
      </c>
      <c r="D67" s="136">
        <f t="shared" si="12"/>
        <v>70</v>
      </c>
      <c r="K67" s="111" t="s">
        <v>77</v>
      </c>
      <c r="L67" s="105">
        <v>4</v>
      </c>
      <c r="M67" s="105">
        <v>3</v>
      </c>
      <c r="N67" s="105">
        <v>3</v>
      </c>
      <c r="O67" s="105">
        <v>4</v>
      </c>
      <c r="P67" s="105">
        <v>3</v>
      </c>
      <c r="Q67" s="105">
        <v>2</v>
      </c>
      <c r="R67" s="105">
        <v>3</v>
      </c>
      <c r="S67" s="105">
        <v>3</v>
      </c>
      <c r="T67" s="105">
        <v>2</v>
      </c>
      <c r="U67">
        <v>2</v>
      </c>
      <c r="V67">
        <v>4</v>
      </c>
      <c r="W67">
        <v>3</v>
      </c>
      <c r="X67">
        <f t="shared" si="13"/>
        <v>51</v>
      </c>
      <c r="Y67">
        <f t="shared" si="14"/>
        <v>51</v>
      </c>
      <c r="Z67">
        <f t="shared" si="15"/>
        <v>150</v>
      </c>
      <c r="AA67">
        <f t="shared" si="16"/>
        <v>0</v>
      </c>
      <c r="AB67">
        <f t="shared" si="17"/>
        <v>51</v>
      </c>
      <c r="AC67">
        <f t="shared" si="18"/>
        <v>51</v>
      </c>
      <c r="AD67">
        <f t="shared" si="19"/>
        <v>51</v>
      </c>
      <c r="AE67">
        <f t="shared" si="20"/>
        <v>0</v>
      </c>
      <c r="AF67">
        <f t="shared" si="21"/>
        <v>68</v>
      </c>
      <c r="AG67">
        <f t="shared" si="22"/>
        <v>200</v>
      </c>
      <c r="AH67">
        <f t="shared" si="23"/>
        <v>150</v>
      </c>
      <c r="AI67">
        <f t="shared" si="24"/>
        <v>200</v>
      </c>
      <c r="AJ67">
        <v>34</v>
      </c>
      <c r="AK67">
        <v>37</v>
      </c>
      <c r="AL67">
        <v>43</v>
      </c>
      <c r="AM67">
        <v>10</v>
      </c>
      <c r="AN67" t="s">
        <v>388</v>
      </c>
      <c r="AO67" t="s">
        <v>455</v>
      </c>
      <c r="AP67" t="s">
        <v>456</v>
      </c>
      <c r="AQ67" t="s">
        <v>449</v>
      </c>
      <c r="AR67" t="s">
        <v>390</v>
      </c>
      <c r="AS67" t="s">
        <v>398</v>
      </c>
      <c r="AT67" t="s">
        <v>414</v>
      </c>
      <c r="AU67" t="s">
        <v>325</v>
      </c>
    </row>
    <row r="68" spans="1:47" ht="21.75" customHeight="1" x14ac:dyDescent="0.2">
      <c r="A68" s="37" t="s">
        <v>39</v>
      </c>
      <c r="B68" s="38">
        <f t="shared" si="25"/>
        <v>38</v>
      </c>
      <c r="C68" s="135" t="str">
        <f>IF($B68="","",IF($B68&gt;=Admin_Settings!$B$3,Admin_Settings!$B$7,IF($B68&gt;=Admin_Settings!$B$4,Admin_Settings!$B$8,IF($B68&gt;=Admin_Settings!$B$5,Admin_Settings!$B$9,IF($B68&gt;=Admin_Settings!$B$6,Admin_Settings!$B$10,Admin_Settings!$B$11)))))</f>
        <v>Low Fit</v>
      </c>
      <c r="D68" s="136">
        <f t="shared" si="12"/>
        <v>38</v>
      </c>
      <c r="K68" s="114" t="s">
        <v>38</v>
      </c>
      <c r="L68" s="105">
        <v>3</v>
      </c>
      <c r="M68" s="105">
        <v>3</v>
      </c>
      <c r="N68" s="105">
        <v>3</v>
      </c>
      <c r="O68" s="105">
        <v>2</v>
      </c>
      <c r="P68" s="105">
        <v>3</v>
      </c>
      <c r="Q68" s="105">
        <v>3</v>
      </c>
      <c r="R68" s="105">
        <v>3</v>
      </c>
      <c r="S68" s="105">
        <v>3</v>
      </c>
      <c r="T68" s="105">
        <v>4</v>
      </c>
      <c r="U68">
        <v>4</v>
      </c>
      <c r="V68">
        <v>3</v>
      </c>
      <c r="W68">
        <v>4</v>
      </c>
      <c r="X68">
        <f t="shared" si="13"/>
        <v>68</v>
      </c>
      <c r="Y68">
        <f t="shared" si="14"/>
        <v>51</v>
      </c>
      <c r="Z68">
        <f t="shared" si="15"/>
        <v>150</v>
      </c>
      <c r="AA68">
        <f t="shared" si="16"/>
        <v>0</v>
      </c>
      <c r="AB68">
        <f t="shared" si="17"/>
        <v>51</v>
      </c>
      <c r="AC68">
        <f t="shared" si="18"/>
        <v>51</v>
      </c>
      <c r="AD68">
        <f t="shared" si="19"/>
        <v>51</v>
      </c>
      <c r="AE68">
        <f t="shared" si="20"/>
        <v>0</v>
      </c>
      <c r="AF68">
        <f t="shared" si="21"/>
        <v>34</v>
      </c>
      <c r="AG68">
        <f t="shared" si="22"/>
        <v>200</v>
      </c>
      <c r="AH68">
        <f t="shared" si="23"/>
        <v>150</v>
      </c>
      <c r="AI68">
        <f t="shared" si="24"/>
        <v>200</v>
      </c>
      <c r="AJ68">
        <v>10</v>
      </c>
      <c r="AK68">
        <v>31</v>
      </c>
      <c r="AL68">
        <v>37</v>
      </c>
      <c r="AM68">
        <v>43</v>
      </c>
      <c r="AN68" t="s">
        <v>449</v>
      </c>
      <c r="AO68" t="s">
        <v>457</v>
      </c>
      <c r="AP68" t="s">
        <v>455</v>
      </c>
      <c r="AQ68" t="s">
        <v>456</v>
      </c>
      <c r="AR68" t="s">
        <v>325</v>
      </c>
      <c r="AS68" t="s">
        <v>385</v>
      </c>
      <c r="AT68" t="s">
        <v>398</v>
      </c>
      <c r="AU68" t="s">
        <v>414</v>
      </c>
    </row>
    <row r="69" spans="1:47" ht="21.75" customHeight="1" x14ac:dyDescent="0.2">
      <c r="A69" s="39" t="s">
        <v>139</v>
      </c>
      <c r="B69" s="40">
        <f t="shared" si="25"/>
        <v>79</v>
      </c>
      <c r="C69" s="135" t="str">
        <f>IF($B69="","",IF($B69&gt;=Admin_Settings!$B$3,Admin_Settings!$B$7,IF($B69&gt;=Admin_Settings!$B$4,Admin_Settings!$B$8,IF($B69&gt;=Admin_Settings!$B$5,Admin_Settings!$B$9,IF($B69&gt;=Admin_Settings!$B$6,Admin_Settings!$B$10,Admin_Settings!$B$11)))))</f>
        <v>Strong Fit</v>
      </c>
      <c r="D69" s="136">
        <f t="shared" si="12"/>
        <v>79</v>
      </c>
      <c r="K69" s="117" t="s">
        <v>39</v>
      </c>
      <c r="L69" s="105">
        <v>4</v>
      </c>
      <c r="M69" s="105">
        <v>3</v>
      </c>
      <c r="N69" s="105">
        <v>3</v>
      </c>
      <c r="O69" s="105">
        <v>2</v>
      </c>
      <c r="P69" s="105">
        <v>3</v>
      </c>
      <c r="Q69" s="105">
        <v>3</v>
      </c>
      <c r="R69" s="105">
        <v>3</v>
      </c>
      <c r="S69" s="105">
        <v>4</v>
      </c>
      <c r="T69" s="105">
        <v>2</v>
      </c>
      <c r="U69">
        <v>4</v>
      </c>
      <c r="V69">
        <v>3</v>
      </c>
      <c r="W69">
        <v>4</v>
      </c>
      <c r="X69">
        <f t="shared" si="13"/>
        <v>51</v>
      </c>
      <c r="Y69">
        <f t="shared" si="14"/>
        <v>68</v>
      </c>
      <c r="Z69">
        <f t="shared" si="15"/>
        <v>200</v>
      </c>
      <c r="AA69">
        <f t="shared" si="16"/>
        <v>0</v>
      </c>
      <c r="AB69">
        <f t="shared" si="17"/>
        <v>68</v>
      </c>
      <c r="AC69">
        <f t="shared" si="18"/>
        <v>68</v>
      </c>
      <c r="AD69">
        <f t="shared" si="19"/>
        <v>51</v>
      </c>
      <c r="AE69">
        <f t="shared" si="20"/>
        <v>0</v>
      </c>
      <c r="AF69">
        <f t="shared" si="21"/>
        <v>34</v>
      </c>
      <c r="AG69">
        <f t="shared" si="22"/>
        <v>200</v>
      </c>
      <c r="AH69">
        <f t="shared" si="23"/>
        <v>150</v>
      </c>
      <c r="AI69">
        <f t="shared" si="24"/>
        <v>150</v>
      </c>
      <c r="AJ69">
        <v>13</v>
      </c>
      <c r="AK69">
        <v>16</v>
      </c>
      <c r="AL69">
        <v>19</v>
      </c>
      <c r="AM69">
        <v>22</v>
      </c>
      <c r="AN69" t="s">
        <v>450</v>
      </c>
      <c r="AO69" t="s">
        <v>458</v>
      </c>
      <c r="AP69" t="s">
        <v>451</v>
      </c>
      <c r="AQ69" t="s">
        <v>453</v>
      </c>
      <c r="AR69" t="s">
        <v>334</v>
      </c>
      <c r="AS69" t="s">
        <v>345</v>
      </c>
      <c r="AT69" t="s">
        <v>352</v>
      </c>
      <c r="AU69" t="s">
        <v>359</v>
      </c>
    </row>
    <row r="70" spans="1:47" ht="21.75" customHeight="1" x14ac:dyDescent="0.2">
      <c r="A70" s="41" t="s">
        <v>41</v>
      </c>
      <c r="B70" s="42">
        <f t="shared" si="25"/>
        <v>53</v>
      </c>
      <c r="C70" s="135" t="str">
        <f>IF($B70="","",IF($B70&gt;=Admin_Settings!$B$3,Admin_Settings!$B$7,IF($B70&gt;=Admin_Settings!$B$4,Admin_Settings!$B$8,IF($B70&gt;=Admin_Settings!$B$5,Admin_Settings!$B$9,IF($B70&gt;=Admin_Settings!$B$6,Admin_Settings!$B$10,Admin_Settings!$B$11)))))</f>
        <v>Emerging Fit</v>
      </c>
      <c r="D70" s="136">
        <f t="shared" si="12"/>
        <v>53</v>
      </c>
      <c r="K70" s="120" t="s">
        <v>139</v>
      </c>
      <c r="L70" s="105">
        <v>3</v>
      </c>
      <c r="M70" s="105">
        <v>4</v>
      </c>
      <c r="N70" s="105">
        <v>4</v>
      </c>
      <c r="O70" s="105">
        <v>4</v>
      </c>
      <c r="P70" s="105">
        <v>4</v>
      </c>
      <c r="Q70" s="105">
        <v>4</v>
      </c>
      <c r="R70" s="105">
        <v>3</v>
      </c>
      <c r="S70" s="105">
        <v>3</v>
      </c>
      <c r="T70" s="105">
        <v>2</v>
      </c>
      <c r="U70">
        <v>4</v>
      </c>
      <c r="V70">
        <v>3</v>
      </c>
      <c r="W70">
        <v>3</v>
      </c>
      <c r="X70">
        <f t="shared" si="13"/>
        <v>34</v>
      </c>
      <c r="Y70">
        <f t="shared" si="14"/>
        <v>51</v>
      </c>
      <c r="Z70">
        <f t="shared" si="15"/>
        <v>200</v>
      </c>
      <c r="AA70">
        <f t="shared" si="16"/>
        <v>0</v>
      </c>
      <c r="AB70">
        <f t="shared" si="17"/>
        <v>34</v>
      </c>
      <c r="AC70">
        <f t="shared" si="18"/>
        <v>68</v>
      </c>
      <c r="AD70">
        <f t="shared" si="19"/>
        <v>51</v>
      </c>
      <c r="AE70">
        <f t="shared" si="20"/>
        <v>0</v>
      </c>
      <c r="AF70">
        <f t="shared" si="21"/>
        <v>34</v>
      </c>
      <c r="AG70">
        <f t="shared" si="22"/>
        <v>200</v>
      </c>
      <c r="AH70">
        <f t="shared" si="23"/>
        <v>100</v>
      </c>
      <c r="AI70">
        <f t="shared" si="24"/>
        <v>150</v>
      </c>
      <c r="AJ70">
        <v>16</v>
      </c>
      <c r="AK70">
        <v>25</v>
      </c>
      <c r="AL70">
        <v>37</v>
      </c>
      <c r="AM70">
        <v>13</v>
      </c>
      <c r="AN70" t="s">
        <v>458</v>
      </c>
      <c r="AO70" t="s">
        <v>459</v>
      </c>
      <c r="AP70" t="s">
        <v>455</v>
      </c>
      <c r="AQ70" t="s">
        <v>450</v>
      </c>
      <c r="AR70" t="s">
        <v>345</v>
      </c>
      <c r="AS70" t="s">
        <v>367</v>
      </c>
      <c r="AT70" t="s">
        <v>398</v>
      </c>
      <c r="AU70" t="s">
        <v>334</v>
      </c>
    </row>
    <row r="71" spans="1:47" ht="21.75" customHeight="1" x14ac:dyDescent="0.2">
      <c r="A71" s="43" t="s">
        <v>119</v>
      </c>
      <c r="B71" s="44">
        <f t="shared" si="25"/>
        <v>87</v>
      </c>
      <c r="C71" s="135" t="str">
        <f>IF($B71="","",IF($B71&gt;=Admin_Settings!$B$3,Admin_Settings!$B$7,IF($B71&gt;=Admin_Settings!$B$4,Admin_Settings!$B$8,IF($B71&gt;=Admin_Settings!$B$5,Admin_Settings!$B$9,IF($B71&gt;=Admin_Settings!$B$6,Admin_Settings!$B$10,Admin_Settings!$B$11)))))</f>
        <v>Very Strong Fit</v>
      </c>
      <c r="D71" s="136">
        <f t="shared" si="12"/>
        <v>87</v>
      </c>
      <c r="K71" s="123" t="s">
        <v>41</v>
      </c>
      <c r="L71" s="105">
        <v>2</v>
      </c>
      <c r="M71" s="105">
        <v>3</v>
      </c>
      <c r="N71" s="105">
        <v>4</v>
      </c>
      <c r="O71" s="105">
        <v>3</v>
      </c>
      <c r="P71" s="105">
        <v>2</v>
      </c>
      <c r="Q71" s="105">
        <v>4</v>
      </c>
      <c r="R71" s="105">
        <v>3</v>
      </c>
      <c r="S71" s="105">
        <v>3</v>
      </c>
      <c r="T71" s="105">
        <v>2</v>
      </c>
      <c r="U71">
        <v>4</v>
      </c>
      <c r="V71">
        <v>2</v>
      </c>
      <c r="W71">
        <v>3</v>
      </c>
      <c r="X71">
        <f t="shared" si="13"/>
        <v>51</v>
      </c>
      <c r="Y71">
        <f t="shared" si="14"/>
        <v>68</v>
      </c>
      <c r="Z71">
        <f t="shared" si="15"/>
        <v>200</v>
      </c>
      <c r="AA71">
        <f t="shared" si="16"/>
        <v>0</v>
      </c>
      <c r="AB71">
        <f t="shared" si="17"/>
        <v>68</v>
      </c>
      <c r="AC71">
        <f t="shared" si="18"/>
        <v>34</v>
      </c>
      <c r="AD71">
        <f t="shared" si="19"/>
        <v>51</v>
      </c>
      <c r="AE71">
        <f t="shared" si="20"/>
        <v>0</v>
      </c>
      <c r="AF71">
        <f t="shared" si="21"/>
        <v>68</v>
      </c>
      <c r="AG71">
        <f t="shared" si="22"/>
        <v>150</v>
      </c>
      <c r="AH71">
        <f t="shared" si="23"/>
        <v>150</v>
      </c>
      <c r="AI71">
        <f t="shared" si="24"/>
        <v>200</v>
      </c>
      <c r="AJ71">
        <v>13</v>
      </c>
      <c r="AK71">
        <v>16</v>
      </c>
      <c r="AL71">
        <v>19</v>
      </c>
      <c r="AM71">
        <v>22</v>
      </c>
      <c r="AN71" t="s">
        <v>450</v>
      </c>
      <c r="AO71" t="s">
        <v>458</v>
      </c>
      <c r="AP71" t="s">
        <v>451</v>
      </c>
      <c r="AQ71" t="s">
        <v>453</v>
      </c>
      <c r="AR71" t="s">
        <v>334</v>
      </c>
      <c r="AS71" t="s">
        <v>345</v>
      </c>
      <c r="AT71" t="s">
        <v>352</v>
      </c>
      <c r="AU71" t="s">
        <v>359</v>
      </c>
    </row>
    <row r="72" spans="1:47" ht="21.75" customHeight="1" x14ac:dyDescent="0.2">
      <c r="A72" s="33" t="s">
        <v>43</v>
      </c>
      <c r="B72" s="34">
        <f t="shared" si="25"/>
        <v>77</v>
      </c>
      <c r="C72" s="135" t="str">
        <f>IF($B72="","",IF($B72&gt;=Admin_Settings!$B$3,Admin_Settings!$B$7,IF($B72&gt;=Admin_Settings!$B$4,Admin_Settings!$B$8,IF($B72&gt;=Admin_Settings!$B$5,Admin_Settings!$B$9,IF($B72&gt;=Admin_Settings!$B$6,Admin_Settings!$B$10,Admin_Settings!$B$11)))))</f>
        <v>Strong Fit</v>
      </c>
      <c r="D72" s="136">
        <f t="shared" si="12"/>
        <v>77</v>
      </c>
      <c r="K72" s="126" t="s">
        <v>119</v>
      </c>
      <c r="L72" s="105">
        <v>3</v>
      </c>
      <c r="M72" s="105">
        <v>4</v>
      </c>
      <c r="N72" s="105">
        <v>4</v>
      </c>
      <c r="O72" s="105">
        <v>4</v>
      </c>
      <c r="P72" s="105">
        <v>4</v>
      </c>
      <c r="Q72" s="105">
        <v>2</v>
      </c>
      <c r="R72" s="105">
        <v>3</v>
      </c>
      <c r="S72" s="105">
        <v>3</v>
      </c>
      <c r="T72" s="105">
        <v>4</v>
      </c>
      <c r="U72">
        <v>3</v>
      </c>
      <c r="V72">
        <v>3</v>
      </c>
      <c r="W72">
        <v>4</v>
      </c>
      <c r="X72">
        <f t="shared" si="13"/>
        <v>51</v>
      </c>
      <c r="Y72">
        <f t="shared" si="14"/>
        <v>51</v>
      </c>
      <c r="Z72">
        <f t="shared" si="15"/>
        <v>150</v>
      </c>
      <c r="AA72">
        <f t="shared" si="16"/>
        <v>0</v>
      </c>
      <c r="AB72">
        <f t="shared" si="17"/>
        <v>51</v>
      </c>
      <c r="AC72">
        <f t="shared" si="18"/>
        <v>51</v>
      </c>
      <c r="AD72">
        <f t="shared" si="19"/>
        <v>51</v>
      </c>
      <c r="AE72">
        <f t="shared" si="20"/>
        <v>0</v>
      </c>
      <c r="AF72">
        <f t="shared" si="21"/>
        <v>68</v>
      </c>
      <c r="AG72">
        <f t="shared" si="22"/>
        <v>200</v>
      </c>
      <c r="AH72">
        <f t="shared" si="23"/>
        <v>150</v>
      </c>
      <c r="AI72">
        <f t="shared" si="24"/>
        <v>200</v>
      </c>
      <c r="AJ72">
        <v>34</v>
      </c>
      <c r="AK72">
        <v>37</v>
      </c>
      <c r="AL72">
        <v>43</v>
      </c>
      <c r="AM72">
        <v>10</v>
      </c>
      <c r="AN72" t="s">
        <v>388</v>
      </c>
      <c r="AO72" t="s">
        <v>455</v>
      </c>
      <c r="AP72" t="s">
        <v>456</v>
      </c>
      <c r="AQ72" t="s">
        <v>449</v>
      </c>
      <c r="AR72" t="s">
        <v>390</v>
      </c>
      <c r="AS72" t="s">
        <v>398</v>
      </c>
      <c r="AT72" t="s">
        <v>414</v>
      </c>
      <c r="AU72" t="s">
        <v>325</v>
      </c>
    </row>
    <row r="73" spans="1:47" ht="21.75" customHeight="1" x14ac:dyDescent="0.2">
      <c r="D73" s="49">
        <f>IF(COUNT($D$64:$D$72)&lt;9,"",ROUND(AVERAGE($D$64:$D$72),0))</f>
        <v>70</v>
      </c>
      <c r="K73" s="111" t="s">
        <v>43</v>
      </c>
      <c r="L73" s="105">
        <v>3</v>
      </c>
      <c r="M73" s="105">
        <v>3</v>
      </c>
      <c r="N73" s="105">
        <v>3</v>
      </c>
      <c r="O73" s="105">
        <v>2</v>
      </c>
      <c r="P73" s="105">
        <v>3</v>
      </c>
      <c r="Q73" s="105">
        <v>3</v>
      </c>
      <c r="R73" s="105">
        <v>3</v>
      </c>
      <c r="S73" s="105">
        <v>3</v>
      </c>
      <c r="T73" s="105">
        <v>4</v>
      </c>
      <c r="U73">
        <v>4</v>
      </c>
      <c r="V73">
        <v>3</v>
      </c>
      <c r="W73">
        <v>4</v>
      </c>
    </row>
    <row r="74" spans="1:47" ht="21.75" customHeight="1" x14ac:dyDescent="0.2"/>
    <row r="75" spans="1:47" ht="21" customHeight="1" x14ac:dyDescent="0.2"/>
    <row r="76" spans="1:47" ht="21" customHeight="1" x14ac:dyDescent="0.2">
      <c r="A76" s="209" t="s">
        <v>460</v>
      </c>
      <c r="B76" s="209"/>
      <c r="C76" s="209"/>
      <c r="D76" s="209"/>
      <c r="E76" s="209"/>
      <c r="F76" s="209"/>
    </row>
    <row r="77" spans="1:47" ht="21" customHeight="1" x14ac:dyDescent="0.2">
      <c r="A77" s="137" t="s">
        <v>421</v>
      </c>
      <c r="B77" s="210" t="s">
        <v>461</v>
      </c>
      <c r="C77" s="210"/>
      <c r="D77" s="210"/>
      <c r="E77" s="210"/>
      <c r="F77" s="210"/>
    </row>
    <row r="78" spans="1:47" ht="21" customHeight="1" x14ac:dyDescent="0.2">
      <c r="A78" s="138" t="s">
        <v>422</v>
      </c>
      <c r="B78" s="206" t="s">
        <v>325</v>
      </c>
      <c r="C78" s="206"/>
      <c r="D78" s="206"/>
      <c r="E78" s="206"/>
      <c r="F78" s="206"/>
    </row>
    <row r="79" spans="1:47" ht="21" customHeight="1" x14ac:dyDescent="0.2">
      <c r="A79" s="138" t="s">
        <v>423</v>
      </c>
      <c r="B79" s="206" t="s">
        <v>334</v>
      </c>
      <c r="C79" s="206"/>
      <c r="D79" s="206"/>
      <c r="E79" s="206"/>
      <c r="F79" s="206"/>
    </row>
    <row r="80" spans="1:47" ht="21" customHeight="1" x14ac:dyDescent="0.2">
      <c r="A80" s="138" t="s">
        <v>424</v>
      </c>
      <c r="B80" s="206" t="s">
        <v>345</v>
      </c>
      <c r="C80" s="206"/>
      <c r="D80" s="206"/>
      <c r="E80" s="206"/>
      <c r="F80" s="206"/>
    </row>
    <row r="81" spans="1:6" ht="21" customHeight="1" x14ac:dyDescent="0.2">
      <c r="A81" s="138" t="s">
        <v>370</v>
      </c>
      <c r="B81" s="206" t="s">
        <v>352</v>
      </c>
      <c r="C81" s="206"/>
      <c r="D81" s="206"/>
      <c r="E81" s="206"/>
      <c r="F81" s="206"/>
    </row>
    <row r="82" spans="1:6" ht="21" customHeight="1" x14ac:dyDescent="0.2">
      <c r="A82" s="138" t="s">
        <v>425</v>
      </c>
      <c r="B82" s="206" t="s">
        <v>359</v>
      </c>
      <c r="C82" s="206"/>
      <c r="D82" s="206"/>
      <c r="E82" s="206"/>
      <c r="F82" s="206"/>
    </row>
    <row r="83" spans="1:6" ht="21" customHeight="1" x14ac:dyDescent="0.2">
      <c r="A83" s="138" t="s">
        <v>426</v>
      </c>
      <c r="B83" s="206" t="s">
        <v>367</v>
      </c>
      <c r="C83" s="206"/>
      <c r="D83" s="206"/>
      <c r="E83" s="206"/>
      <c r="F83" s="206"/>
    </row>
    <row r="84" spans="1:6" ht="21" customHeight="1" x14ac:dyDescent="0.2">
      <c r="A84" s="138" t="s">
        <v>427</v>
      </c>
      <c r="B84" s="206" t="s">
        <v>375</v>
      </c>
      <c r="C84" s="206"/>
      <c r="D84" s="206"/>
      <c r="E84" s="206"/>
      <c r="F84" s="206"/>
    </row>
    <row r="85" spans="1:6" ht="21" customHeight="1" x14ac:dyDescent="0.2">
      <c r="A85" s="138" t="s">
        <v>428</v>
      </c>
      <c r="B85" s="206" t="s">
        <v>385</v>
      </c>
      <c r="C85" s="206"/>
      <c r="D85" s="206"/>
      <c r="E85" s="206"/>
      <c r="F85" s="206"/>
    </row>
    <row r="86" spans="1:6" ht="21" customHeight="1" x14ac:dyDescent="0.2">
      <c r="A86" s="138" t="s">
        <v>429</v>
      </c>
      <c r="B86" s="206" t="s">
        <v>390</v>
      </c>
      <c r="C86" s="206"/>
      <c r="D86" s="206"/>
      <c r="E86" s="206"/>
      <c r="F86" s="206"/>
    </row>
    <row r="87" spans="1:6" ht="21" customHeight="1" x14ac:dyDescent="0.2">
      <c r="A87" t="s">
        <v>430</v>
      </c>
      <c r="B87" t="s">
        <v>398</v>
      </c>
    </row>
    <row r="88" spans="1:6" ht="21" customHeight="1" x14ac:dyDescent="0.2">
      <c r="A88" t="s">
        <v>431</v>
      </c>
      <c r="B88" t="s">
        <v>406</v>
      </c>
    </row>
    <row r="89" spans="1:6" ht="21" customHeight="1" x14ac:dyDescent="0.2">
      <c r="A89" t="s">
        <v>432</v>
      </c>
      <c r="B89" t="s">
        <v>414</v>
      </c>
    </row>
  </sheetData>
  <sheetProtection sheet="1" formatColumns="0" formatRows="0"/>
  <mergeCells count="33">
    <mergeCell ref="A1:C1"/>
    <mergeCell ref="A2:C5"/>
    <mergeCell ref="A6:F6"/>
    <mergeCell ref="A7:F7"/>
    <mergeCell ref="A8:F8"/>
    <mergeCell ref="A48:F48"/>
    <mergeCell ref="H48:T48"/>
    <mergeCell ref="C49:F49"/>
    <mergeCell ref="C50:F50"/>
    <mergeCell ref="C51:F51"/>
    <mergeCell ref="C52:F52"/>
    <mergeCell ref="C53:F53"/>
    <mergeCell ref="C54:F54"/>
    <mergeCell ref="C55:F55"/>
    <mergeCell ref="C56:F56"/>
    <mergeCell ref="C57:F57"/>
    <mergeCell ref="C58:F58"/>
    <mergeCell ref="C59:F59"/>
    <mergeCell ref="C60:F60"/>
    <mergeCell ref="C61:F61"/>
    <mergeCell ref="A62:F62"/>
    <mergeCell ref="H63:T63"/>
    <mergeCell ref="A76:F76"/>
    <mergeCell ref="B77:F77"/>
    <mergeCell ref="B78:F78"/>
    <mergeCell ref="B84:F84"/>
    <mergeCell ref="B85:F85"/>
    <mergeCell ref="B86:F86"/>
    <mergeCell ref="B79:F79"/>
    <mergeCell ref="B80:F80"/>
    <mergeCell ref="B81:F81"/>
    <mergeCell ref="B82:F82"/>
    <mergeCell ref="B83:F83"/>
  </mergeCells>
  <conditionalFormatting sqref="A10:A45">
    <cfRule type="cellIs" dxfId="16" priority="16" operator="between">
      <formula>1</formula>
      <formula>4</formula>
    </cfRule>
  </conditionalFormatting>
  <conditionalFormatting sqref="B50:B61">
    <cfRule type="dataBar" priority="2">
      <dataBar>
        <cfvo type="num" val="0"/>
        <cfvo type="num" val="100"/>
        <color rgb="FF63C384"/>
      </dataBar>
      <extLst>
        <ext xmlns:x14="http://schemas.microsoft.com/office/spreadsheetml/2009/9/main" uri="{B025F937-C7B1-47D3-B67F-A62EFF666E3E}">
          <x14:id>{8E808F7A-E62C-434C-803B-DDCCC225AF71}</x14:id>
        </ext>
      </extLst>
    </cfRule>
  </conditionalFormatting>
  <conditionalFormatting sqref="B64:B72">
    <cfRule type="dataBar" priority="3">
      <dataBar>
        <cfvo type="num" val="0"/>
        <cfvo type="num" val="100"/>
        <color rgb="FF5B9BD5"/>
      </dataBar>
      <extLst>
        <ext xmlns:x14="http://schemas.microsoft.com/office/spreadsheetml/2009/9/main" uri="{B025F937-C7B1-47D3-B67F-A62EFF666E3E}">
          <x14:id>{6754E0D2-3AC5-4EBA-95DC-7EC6A8D6C0D9}</x14:id>
        </ext>
      </extLst>
    </cfRule>
  </conditionalFormatting>
  <conditionalFormatting sqref="C64:C72">
    <cfRule type="containsText" dxfId="15" priority="12" operator="containsText" text="Strong Fit">
      <formula>NOT(ISERROR(SEARCH("Strong Fit",C64)))</formula>
    </cfRule>
    <cfRule type="containsText" dxfId="14" priority="13" operator="containsText" text="Moderate Fit">
      <formula>NOT(ISERROR(SEARCH("Moderate Fit",C64)))</formula>
    </cfRule>
    <cfRule type="containsText" dxfId="13" priority="14" operator="containsText" text="Emerging Fit">
      <formula>NOT(ISERROR(SEARCH("Emerging Fit",C64)))</formula>
    </cfRule>
    <cfRule type="containsText" dxfId="12" priority="15" operator="containsText" text="Low Fit">
      <formula>NOT(ISERROR(SEARCH("Low Fit",C64)))</formula>
    </cfRule>
  </conditionalFormatting>
  <conditionalFormatting sqref="D64:F72">
    <cfRule type="expression" dxfId="11" priority="4">
      <formula>D64="Independence &amp; Autonomy"</formula>
    </cfRule>
    <cfRule type="expression" dxfId="10" priority="5">
      <formula>D64="Comfort With Pressure"</formula>
    </cfRule>
    <cfRule type="expression" dxfId="9" priority="6">
      <formula>D64="Attention Environment"</formula>
    </cfRule>
    <cfRule type="expression" dxfId="8" priority="7">
      <formula>D64="Work Setting"</formula>
    </cfRule>
    <cfRule type="expression" dxfId="7" priority="8">
      <formula>D64="Problem Style"</formula>
    </cfRule>
    <cfRule type="expression" dxfId="6" priority="9">
      <formula>D64="Feedback &amp; Support"</formula>
    </cfRule>
    <cfRule type="expression" dxfId="5" priority="10">
      <formula>D64="Quality vs Speed"</formula>
    </cfRule>
    <cfRule type="expression" dxfId="4" priority="11">
      <formula>D64="Teamwork vs Solo Focus"</formula>
    </cfRule>
  </conditionalFormatting>
  <dataValidations count="1">
    <dataValidation type="list" allowBlank="1" showInputMessage="1" showErrorMessage="1" errorTitle="Invalid entry" error="Please select 1, 2, 3, or 4 from the dropdown." promptTitle="Rating (1–4)" prompt="1 = Not like me_x000a_2 = A little like me_x000a_3 = Mostly like me_x000a_4 = Very like me" sqref="A10:A45" xr:uid="{00000000-0002-0000-0400-000000000000}">
      <formula1>"1,2,3,4"</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8E808F7A-E62C-434C-803B-DDCCC225AF71}">
            <x14:dataBar axisPosition="none">
              <x14:cfvo type="num">
                <xm:f>0</xm:f>
              </x14:cfvo>
              <x14:cfvo type="num">
                <xm:f>100</xm:f>
              </x14:cfvo>
              <x14:negativeFillColor rgb="FF63C384"/>
            </x14:dataBar>
          </x14:cfRule>
          <xm:sqref>B50:B61</xm:sqref>
        </x14:conditionalFormatting>
        <x14:conditionalFormatting xmlns:xm="http://schemas.microsoft.com/office/excel/2006/main">
          <x14:cfRule type="dataBar" id="{6754E0D2-3AC5-4EBA-95DC-7EC6A8D6C0D9}">
            <x14:dataBar axisPosition="none">
              <x14:cfvo type="num">
                <xm:f>0</xm:f>
              </x14:cfvo>
              <x14:cfvo type="num">
                <xm:f>100</xm:f>
              </x14:cfvo>
              <x14:negativeFillColor rgb="FF5B9BD5"/>
            </x14:dataBar>
          </x14:cfRule>
          <xm:sqref>B64:B72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sheetPr>
  <dimension ref="A1:O54"/>
  <sheetViews>
    <sheetView showGridLines="0" zoomScaleNormal="100" workbookViewId="0">
      <pane ySplit="11" topLeftCell="A12" activePane="bottomLeft" state="frozen"/>
      <selection pane="bottomLeft" activeCell="N21" sqref="N21"/>
    </sheetView>
  </sheetViews>
  <sheetFormatPr baseColWidth="10" defaultColWidth="8.83203125" defaultRowHeight="15" x14ac:dyDescent="0.2"/>
  <cols>
    <col min="1" max="1" width="30" customWidth="1"/>
    <col min="2" max="7" width="14" customWidth="1"/>
    <col min="8" max="8" width="46" customWidth="1"/>
    <col min="9" max="9" width="10" customWidth="1"/>
    <col min="10" max="10" width="22" customWidth="1"/>
    <col min="11" max="11" width="12" customWidth="1"/>
    <col min="12" max="12" width="20" customWidth="1"/>
    <col min="13" max="13" width="12" customWidth="1"/>
    <col min="14" max="14" width="2" customWidth="1"/>
    <col min="15" max="15" width="14" hidden="1" customWidth="1"/>
  </cols>
  <sheetData>
    <row r="1" spans="1:15" ht="42" customHeight="1" x14ac:dyDescent="0.2">
      <c r="A1" s="196" t="s">
        <v>462</v>
      </c>
      <c r="B1" s="196"/>
      <c r="C1" s="196"/>
      <c r="D1" s="196"/>
      <c r="E1" s="196"/>
      <c r="F1" s="196"/>
      <c r="G1" s="196"/>
      <c r="H1" s="196"/>
      <c r="I1" s="196"/>
      <c r="J1" s="196"/>
      <c r="K1" s="196"/>
      <c r="L1" s="196"/>
    </row>
    <row r="2" spans="1:15" ht="49.5" customHeight="1" x14ac:dyDescent="0.2">
      <c r="A2" s="197" t="s">
        <v>463</v>
      </c>
      <c r="B2" s="197"/>
      <c r="C2" s="197"/>
      <c r="D2" s="197"/>
      <c r="E2" s="197"/>
      <c r="F2" s="197"/>
      <c r="G2" s="197"/>
      <c r="H2" s="197"/>
      <c r="I2" s="197"/>
      <c r="J2" s="197"/>
      <c r="K2" s="197"/>
      <c r="L2" s="197"/>
    </row>
    <row r="3" spans="1:15" ht="7.5" customHeight="1" x14ac:dyDescent="0.2"/>
    <row r="4" spans="1:15" ht="7.5" customHeight="1" x14ac:dyDescent="0.2">
      <c r="A4" s="139" t="s">
        <v>464</v>
      </c>
      <c r="D4" s="140" t="s">
        <v>465</v>
      </c>
      <c r="J4" s="141" t="s">
        <v>466</v>
      </c>
      <c r="K4" s="142"/>
      <c r="L4" s="142"/>
    </row>
    <row r="5" spans="1:15" ht="21.75" customHeight="1" x14ac:dyDescent="0.2">
      <c r="A5" s="143" t="s">
        <v>467</v>
      </c>
      <c r="B5" s="144">
        <f>COUNT(Interests!$A$10:$A$45)/36</f>
        <v>1</v>
      </c>
      <c r="D5" s="145" t="s">
        <v>468</v>
      </c>
      <c r="E5" s="146">
        <v>0.35</v>
      </c>
      <c r="J5" s="147" t="s">
        <v>141</v>
      </c>
      <c r="K5" s="147" t="s">
        <v>47</v>
      </c>
      <c r="L5" s="147" t="s">
        <v>469</v>
      </c>
    </row>
    <row r="6" spans="1:15" ht="21.75" customHeight="1" x14ac:dyDescent="0.2">
      <c r="A6" s="143" t="s">
        <v>470</v>
      </c>
      <c r="B6" s="144">
        <f>COUNT(Strengths!$A$10:$A$45)/36</f>
        <v>1</v>
      </c>
      <c r="D6" s="145" t="s">
        <v>471</v>
      </c>
      <c r="E6" s="146">
        <v>0.35</v>
      </c>
      <c r="J6" s="148">
        <v>1</v>
      </c>
      <c r="K6" s="148" t="str">
        <f>IF($B$9=0,"",INDEX($A$13:$A$21,MATCH(LARGE($O$13:$O$21,1),$O$13:$O$21,0)))</f>
        <v>Learning &amp; Support Path</v>
      </c>
      <c r="L6" s="149">
        <f>IF($B$9=0,"",INDEX($F$13:$F$21,MATCH(LARGE($O$13:$O$21,1),$O$13:$O$21,0)))</f>
        <v>80</v>
      </c>
    </row>
    <row r="7" spans="1:15" ht="21.75" customHeight="1" x14ac:dyDescent="0.2">
      <c r="A7" s="143" t="s">
        <v>472</v>
      </c>
      <c r="B7" s="144">
        <f>COUNT(Drivers!$A$10:$A$45)/36</f>
        <v>1</v>
      </c>
      <c r="D7" s="145" t="s">
        <v>473</v>
      </c>
      <c r="E7" s="146">
        <v>0.2</v>
      </c>
      <c r="J7" s="150">
        <v>2</v>
      </c>
      <c r="K7" s="150" t="str">
        <f>IF($B$9=0,"",INDEX($A$13:$A$21,MATCH(LARGE($O$13:$O$21,2),$O$13:$O$21,0)))</f>
        <v>Business Growth &amp; Leadership Path</v>
      </c>
      <c r="L7" s="151">
        <f>IF($B$9=0,"",INDEX($F$13:$F$21,MATCH(LARGE($O$13:$O$21,2),$O$13:$O$21,0)))</f>
        <v>78</v>
      </c>
    </row>
    <row r="8" spans="1:15" ht="21.75" customHeight="1" x14ac:dyDescent="0.2">
      <c r="A8" s="143" t="s">
        <v>474</v>
      </c>
      <c r="B8" s="144">
        <f>COUNT('Work Style &amp; Environment'!$A$10:$A$45)/36</f>
        <v>1</v>
      </c>
      <c r="D8" s="145" t="s">
        <v>475</v>
      </c>
      <c r="E8" s="146">
        <v>0.1</v>
      </c>
      <c r="J8" s="148">
        <v>3</v>
      </c>
      <c r="K8" s="148" t="str">
        <f>IF($B$9=0,"",INDEX($A$13:$A$21,MATCH(LARGE($O$13:$O$21,3),$O$13:$O$21,0)))</f>
        <v>Clinical Care Path</v>
      </c>
      <c r="L8" s="149">
        <f>IF($B$9=0,"",INDEX($F$13:$F$21,MATCH(LARGE($O$13:$O$21,3),$O$13:$O$21,0)))</f>
        <v>69</v>
      </c>
    </row>
    <row r="9" spans="1:15" ht="24" customHeight="1" x14ac:dyDescent="0.2">
      <c r="A9" s="143" t="s">
        <v>476</v>
      </c>
      <c r="B9" s="152">
        <f>--AND(B5=1,B6=1,B7=1,B8=1)</f>
        <v>1</v>
      </c>
      <c r="D9" s="153" t="s">
        <v>477</v>
      </c>
      <c r="E9" s="154">
        <f>SUM(E5:E8)</f>
        <v>0.99999999999999989</v>
      </c>
    </row>
    <row r="10" spans="1:15" ht="9.75" customHeight="1" x14ac:dyDescent="0.2">
      <c r="J10" s="155" t="s">
        <v>478</v>
      </c>
      <c r="K10" s="231" t="str">
        <f>IF($B$9=0,"Complete all four sections to unlock your results.","Your results blend what you enjoy (Interests 35%), can do (Strengths 35%), care about (Drivers 20%), and how you prefer to work (Work Style 10%). No single section decides the outcome.")</f>
        <v>Your results blend what you enjoy (Interests 35%), can do (Strengths 35%), care about (Drivers 20%), and how you prefer to work (Work Style 10%). No single section decides the outcome.</v>
      </c>
      <c r="L10" s="231"/>
    </row>
    <row r="11" spans="1:15" ht="31.5" customHeight="1" x14ac:dyDescent="0.25">
      <c r="A11" s="156" t="s">
        <v>479</v>
      </c>
      <c r="F11" s="157"/>
    </row>
    <row r="12" spans="1:15" ht="25.5" customHeight="1" x14ac:dyDescent="0.2">
      <c r="A12" s="158" t="s">
        <v>135</v>
      </c>
      <c r="B12" s="158" t="s">
        <v>467</v>
      </c>
      <c r="C12" s="158" t="s">
        <v>470</v>
      </c>
      <c r="D12" s="158" t="s">
        <v>472</v>
      </c>
      <c r="E12" s="158" t="s">
        <v>480</v>
      </c>
      <c r="F12" s="158" t="s">
        <v>469</v>
      </c>
      <c r="G12" s="158" t="s">
        <v>481</v>
      </c>
      <c r="H12" s="159" t="s">
        <v>482</v>
      </c>
      <c r="I12" s="158" t="s">
        <v>483</v>
      </c>
      <c r="J12" s="158" t="s">
        <v>484</v>
      </c>
      <c r="K12" s="158" t="s">
        <v>485</v>
      </c>
      <c r="L12" s="158" t="s">
        <v>486</v>
      </c>
      <c r="M12" s="158" t="s">
        <v>487</v>
      </c>
    </row>
    <row r="13" spans="1:15" ht="49.5" customHeight="1" x14ac:dyDescent="0.2">
      <c r="A13" s="160" t="s">
        <v>35</v>
      </c>
      <c r="B13" s="161">
        <f>IF(B5&lt;1,"",IF(Interests!$B$50="","",Interests!$B$50))</f>
        <v>66</v>
      </c>
      <c r="C13" s="161">
        <f>IF(B6&lt;1,"",IF(Strengths!$B$50="","",Strengths!$B$50))</f>
        <v>68</v>
      </c>
      <c r="D13" s="161">
        <f>IF(B7&lt;1,"",IF(Drivers!$B$54="","",Drivers!$B$54))</f>
        <v>69</v>
      </c>
      <c r="E13" s="161">
        <f>IF(B8&lt;1,"",IF('Work Style &amp; Environment'!$B$64="","",'Work Style &amp; Environment'!$B$64))</f>
        <v>81</v>
      </c>
      <c r="F13" s="161">
        <f t="shared" ref="F13:F21" si="0">IF($B$9=0,"",ROUND(B13*$E$5 + C13*$E$6 + D13*$E$7 + E13*$E$8,0))</f>
        <v>69</v>
      </c>
      <c r="G13" s="161" t="str">
        <f>IF($B$9=0,"",IF(F13&gt;=Admin_Settings!$B$3,Admin_Settings!$B$7,IF(F13&gt;=Admin_Settings!$B$4,Admin_Settings!$B$8,IF(F13&gt;=Admin_Settings!$B$5,Admin_Settings!$B$9,IF(F13&gt;=Admin_Settings!$B$6,Admin_Settings!$B$10,Admin_Settings!$B$11)))))</f>
        <v>Moderate Fit</v>
      </c>
      <c r="H13" s="162" t="s">
        <v>488</v>
      </c>
      <c r="I13" s="161">
        <f t="shared" ref="I13:I21" si="1">IF($B$9=0,"",ROUND(B13*$E$5,1))</f>
        <v>23.1</v>
      </c>
      <c r="J13" s="161">
        <f t="shared" ref="J13:J21" si="2">IF($B$9=0,"",ROUND(C13*$E$6,1))</f>
        <v>23.8</v>
      </c>
      <c r="K13" s="161">
        <f t="shared" ref="K13:K21" si="3">IF($B$9=0,"",ROUND(D13*$E$7,1))</f>
        <v>13.8</v>
      </c>
      <c r="L13" s="161">
        <f t="shared" ref="L13:L21" si="4">IF($B$9=0,"",ROUND(E13*$E$8,1))</f>
        <v>8.1</v>
      </c>
      <c r="M13" s="161" t="str">
        <f t="shared" ref="M13:M21" si="5">IF($B$9=0,"","Top: " &amp; IF(MAX(I13:L13)=I13,"Interests",IF(MAX(I13:L13)=J13,"Strengths",IF(MAX(I13:L13)=K13,"Drivers","Work Style &amp; Environment"))))</f>
        <v>Top: Strengths</v>
      </c>
      <c r="N13" s="163"/>
      <c r="O13" s="163">
        <f>IF($B$9=0,"",$F13+(13-13)/1000000)</f>
        <v>69</v>
      </c>
    </row>
    <row r="14" spans="1:15" ht="49.5" customHeight="1" x14ac:dyDescent="0.2">
      <c r="A14" s="164" t="s">
        <v>68</v>
      </c>
      <c r="B14" s="165">
        <f>IF(B5&lt;1,"",IF(Interests!$B$51="","",Interests!$B$51))</f>
        <v>31</v>
      </c>
      <c r="C14" s="165">
        <f>IF(B6&lt;1,"",IF(Strengths!$B$51="","",Strengths!$B$51))</f>
        <v>33</v>
      </c>
      <c r="D14" s="165">
        <f>IF(B7&lt;1,"",IF(Drivers!$B$55="","",Drivers!$B$55))</f>
        <v>31</v>
      </c>
      <c r="E14" s="165">
        <f>IF(B8&lt;1,"",IF('Work Style &amp; Environment'!$B$65="","",'Work Style &amp; Environment'!$B$65))</f>
        <v>66</v>
      </c>
      <c r="F14" s="165">
        <f t="shared" si="0"/>
        <v>35</v>
      </c>
      <c r="G14" s="165" t="str">
        <f>IF($B$9=0,"",IF(F14&gt;=Admin_Settings!$B$3,Admin_Settings!$B$7,IF(F14&gt;=Admin_Settings!$B$4,Admin_Settings!$B$8,IF(F14&gt;=Admin_Settings!$B$5,Admin_Settings!$B$9,IF(F14&gt;=Admin_Settings!$B$6,Admin_Settings!$B$10,Admin_Settings!$B$11)))))</f>
        <v>Low Fit</v>
      </c>
      <c r="H14" s="162" t="s">
        <v>489</v>
      </c>
      <c r="I14" s="165">
        <f t="shared" si="1"/>
        <v>10.9</v>
      </c>
      <c r="J14" s="165">
        <f t="shared" si="2"/>
        <v>11.6</v>
      </c>
      <c r="K14" s="165">
        <f t="shared" si="3"/>
        <v>6.2</v>
      </c>
      <c r="L14" s="165">
        <f t="shared" si="4"/>
        <v>6.6</v>
      </c>
      <c r="M14" s="165" t="str">
        <f t="shared" si="5"/>
        <v>Top: Strengths</v>
      </c>
      <c r="N14" s="166"/>
      <c r="O14" s="166">
        <f>IF($B$9=0,"",$F14+(14-13)/1000000)</f>
        <v>35.000000999999997</v>
      </c>
    </row>
    <row r="15" spans="1:15" ht="49.5" customHeight="1" x14ac:dyDescent="0.2">
      <c r="A15" s="160" t="s">
        <v>77</v>
      </c>
      <c r="B15" s="161">
        <f>IF(B5&lt;1,"",IF(Interests!$B$52="","",Interests!$B$52))</f>
        <v>79</v>
      </c>
      <c r="C15" s="161">
        <f>IF(B6&lt;1,"",IF(Strengths!$B$52="","",Strengths!$B$52))</f>
        <v>80</v>
      </c>
      <c r="D15" s="161">
        <f>IF(B7&lt;1,"",IF(Drivers!$B$56="","",Drivers!$B$56))</f>
        <v>81</v>
      </c>
      <c r="E15" s="161">
        <f>IF(B8&lt;1,"",IF('Work Style &amp; Environment'!$B$66="","",'Work Style &amp; Environment'!$B$66))</f>
        <v>80</v>
      </c>
      <c r="F15" s="161">
        <f t="shared" si="0"/>
        <v>80</v>
      </c>
      <c r="G15" s="161" t="str">
        <f>IF($B$9=0,"",IF(F15&gt;=Admin_Settings!$B$3,Admin_Settings!$B$7,IF(F15&gt;=Admin_Settings!$B$4,Admin_Settings!$B$8,IF(F15&gt;=Admin_Settings!$B$5,Admin_Settings!$B$9,IF(F15&gt;=Admin_Settings!$B$6,Admin_Settings!$B$10,Admin_Settings!$B$11)))))</f>
        <v>Strong Fit</v>
      </c>
      <c r="H15" s="162" t="s">
        <v>490</v>
      </c>
      <c r="I15" s="161">
        <f t="shared" si="1"/>
        <v>27.7</v>
      </c>
      <c r="J15" s="161">
        <f t="shared" si="2"/>
        <v>28</v>
      </c>
      <c r="K15" s="161">
        <f t="shared" si="3"/>
        <v>16.2</v>
      </c>
      <c r="L15" s="161">
        <f t="shared" si="4"/>
        <v>8</v>
      </c>
      <c r="M15" s="161" t="str">
        <f t="shared" si="5"/>
        <v>Top: Strengths</v>
      </c>
      <c r="N15" s="163"/>
      <c r="O15" s="163">
        <f>IF($B$9=0,"",$F15+(15-13)/1000000)</f>
        <v>80.000001999999995</v>
      </c>
    </row>
    <row r="16" spans="1:15" ht="49.5" customHeight="1" x14ac:dyDescent="0.2">
      <c r="A16" s="164" t="s">
        <v>38</v>
      </c>
      <c r="B16" s="165">
        <f>IF(B5&lt;1,"",IF(Interests!$B$53="","",Interests!$B$53))</f>
        <v>44</v>
      </c>
      <c r="C16" s="165">
        <f>IF(B6&lt;1,"",IF(Strengths!$B$53="","",Strengths!$B$53))</f>
        <v>43</v>
      </c>
      <c r="D16" s="165">
        <f>IF(B7&lt;1,"",IF(Drivers!$B$57="","",Drivers!$B$57))</f>
        <v>44</v>
      </c>
      <c r="E16" s="165">
        <f>IF(B8&lt;1,"",IF('Work Style &amp; Environment'!$B$67="","",'Work Style &amp; Environment'!$B$67))</f>
        <v>70</v>
      </c>
      <c r="F16" s="165">
        <f t="shared" si="0"/>
        <v>46</v>
      </c>
      <c r="G16" s="165" t="str">
        <f>IF($B$9=0,"",IF(F16&gt;=Admin_Settings!$B$3,Admin_Settings!$B$7,IF(F16&gt;=Admin_Settings!$B$4,Admin_Settings!$B$8,IF(F16&gt;=Admin_Settings!$B$5,Admin_Settings!$B$9,IF(F16&gt;=Admin_Settings!$B$6,Admin_Settings!$B$10,Admin_Settings!$B$11)))))</f>
        <v>Emerging Fit</v>
      </c>
      <c r="H16" s="162" t="s">
        <v>491</v>
      </c>
      <c r="I16" s="165">
        <f t="shared" si="1"/>
        <v>15.4</v>
      </c>
      <c r="J16" s="165">
        <f t="shared" si="2"/>
        <v>15.1</v>
      </c>
      <c r="K16" s="165">
        <f t="shared" si="3"/>
        <v>8.8000000000000007</v>
      </c>
      <c r="L16" s="165">
        <f t="shared" si="4"/>
        <v>7</v>
      </c>
      <c r="M16" s="165" t="str">
        <f t="shared" si="5"/>
        <v>Top: Interests</v>
      </c>
      <c r="N16" s="166"/>
      <c r="O16" s="166">
        <f>IF($B$9=0,"",$F16+(16-13)/1000000)</f>
        <v>46.000003</v>
      </c>
    </row>
    <row r="17" spans="1:15" ht="49.5" customHeight="1" x14ac:dyDescent="0.2">
      <c r="A17" s="160" t="s">
        <v>39</v>
      </c>
      <c r="B17" s="161">
        <f>IF(B5&lt;1,"",IF(Interests!$B$54="","",Interests!$B$54))</f>
        <v>60</v>
      </c>
      <c r="C17" s="161">
        <f>IF(B6&lt;1,"",IF(Strengths!$B$54="","",Strengths!$B$54))</f>
        <v>60</v>
      </c>
      <c r="D17" s="161">
        <f>IF(B7&lt;1,"",IF(Drivers!$B$58="","",Drivers!$B$58))</f>
        <v>63</v>
      </c>
      <c r="E17" s="161">
        <f>IF(B8&lt;1,"",IF('Work Style &amp; Environment'!$B$68="","",'Work Style &amp; Environment'!$B$68))</f>
        <v>38</v>
      </c>
      <c r="F17" s="161">
        <f t="shared" si="0"/>
        <v>58</v>
      </c>
      <c r="G17" s="161" t="str">
        <f>IF($B$9=0,"",IF(F17&gt;=Admin_Settings!$B$3,Admin_Settings!$B$7,IF(F17&gt;=Admin_Settings!$B$4,Admin_Settings!$B$8,IF(F17&gt;=Admin_Settings!$B$5,Admin_Settings!$B$9,IF(F17&gt;=Admin_Settings!$B$6,Admin_Settings!$B$10,Admin_Settings!$B$11)))))</f>
        <v>Moderate Fit</v>
      </c>
      <c r="H17" s="162" t="s">
        <v>492</v>
      </c>
      <c r="I17" s="161">
        <f t="shared" si="1"/>
        <v>21</v>
      </c>
      <c r="J17" s="161">
        <f t="shared" si="2"/>
        <v>21</v>
      </c>
      <c r="K17" s="161">
        <f t="shared" si="3"/>
        <v>12.6</v>
      </c>
      <c r="L17" s="161">
        <f t="shared" si="4"/>
        <v>3.8</v>
      </c>
      <c r="M17" s="161" t="str">
        <f t="shared" si="5"/>
        <v>Top: Interests</v>
      </c>
      <c r="N17" s="163"/>
      <c r="O17" s="163">
        <f>IF($B$9=0,"",$F17+(17-13)/1000000)</f>
        <v>58.000003999999997</v>
      </c>
    </row>
    <row r="18" spans="1:15" ht="49.5" customHeight="1" x14ac:dyDescent="0.2">
      <c r="A18" s="164" t="s">
        <v>139</v>
      </c>
      <c r="B18" s="165">
        <f>IF(B5&lt;1,"",IF(Interests!$B$55="","",Interests!$B$55))</f>
        <v>75</v>
      </c>
      <c r="C18" s="165">
        <f>IF(B6&lt;1,"",IF(Strengths!$B$55="","",Strengths!$B$55))</f>
        <v>78</v>
      </c>
      <c r="D18" s="165">
        <f>IF(B7&lt;1,"",IF(Drivers!$B$59="","",Drivers!$B$59))</f>
        <v>81</v>
      </c>
      <c r="E18" s="165">
        <f>IF(B8&lt;1,"",IF('Work Style &amp; Environment'!$B$69="","",'Work Style &amp; Environment'!$B$69))</f>
        <v>79</v>
      </c>
      <c r="F18" s="165">
        <f t="shared" si="0"/>
        <v>78</v>
      </c>
      <c r="G18" s="165" t="str">
        <f>IF($B$9=0,"",IF(F18&gt;=Admin_Settings!$B$3,Admin_Settings!$B$7,IF(F18&gt;=Admin_Settings!$B$4,Admin_Settings!$B$8,IF(F18&gt;=Admin_Settings!$B$5,Admin_Settings!$B$9,IF(F18&gt;=Admin_Settings!$B$6,Admin_Settings!$B$10,Admin_Settings!$B$11)))))</f>
        <v>Strong Fit</v>
      </c>
      <c r="H18" s="162" t="s">
        <v>493</v>
      </c>
      <c r="I18" s="165">
        <f t="shared" si="1"/>
        <v>26.3</v>
      </c>
      <c r="J18" s="165">
        <f t="shared" si="2"/>
        <v>27.3</v>
      </c>
      <c r="K18" s="165">
        <f t="shared" si="3"/>
        <v>16.2</v>
      </c>
      <c r="L18" s="165">
        <f t="shared" si="4"/>
        <v>7.9</v>
      </c>
      <c r="M18" s="165" t="str">
        <f t="shared" si="5"/>
        <v>Top: Strengths</v>
      </c>
      <c r="N18" s="166"/>
      <c r="O18" s="166">
        <f>IF($B$9=0,"",$F18+(18-13)/1000000)</f>
        <v>78.000005000000002</v>
      </c>
    </row>
    <row r="19" spans="1:15" ht="49.5" customHeight="1" x14ac:dyDescent="0.2">
      <c r="A19" s="160" t="s">
        <v>41</v>
      </c>
      <c r="B19" s="161">
        <f>IF(B5&lt;1,"",IF(Interests!$B$56="","",Interests!$B$56))</f>
        <v>68</v>
      </c>
      <c r="C19" s="161">
        <f>IF(B6&lt;1,"",IF(Strengths!$B$56="","",Strengths!$B$56))</f>
        <v>66</v>
      </c>
      <c r="D19" s="161">
        <f>IF(B7&lt;1,"",IF(Drivers!$B$60="","",Drivers!$B$60))</f>
        <v>69</v>
      </c>
      <c r="E19" s="161">
        <f>IF(B8&lt;1,"",IF('Work Style &amp; Environment'!$B$70="","",'Work Style &amp; Environment'!$B$70))</f>
        <v>53</v>
      </c>
      <c r="F19" s="161">
        <f t="shared" si="0"/>
        <v>66</v>
      </c>
      <c r="G19" s="161" t="str">
        <f>IF($B$9=0,"",IF(F19&gt;=Admin_Settings!$B$3,Admin_Settings!$B$7,IF(F19&gt;=Admin_Settings!$B$4,Admin_Settings!$B$8,IF(F19&gt;=Admin_Settings!$B$5,Admin_Settings!$B$9,IF(F19&gt;=Admin_Settings!$B$6,Admin_Settings!$B$10,Admin_Settings!$B$11)))))</f>
        <v>Moderate Fit</v>
      </c>
      <c r="H19" s="162" t="s">
        <v>494</v>
      </c>
      <c r="I19" s="161">
        <f t="shared" si="1"/>
        <v>23.8</v>
      </c>
      <c r="J19" s="161">
        <f t="shared" si="2"/>
        <v>23.1</v>
      </c>
      <c r="K19" s="161">
        <f t="shared" si="3"/>
        <v>13.8</v>
      </c>
      <c r="L19" s="161">
        <f t="shared" si="4"/>
        <v>5.3</v>
      </c>
      <c r="M19" s="161" t="str">
        <f t="shared" si="5"/>
        <v>Top: Interests</v>
      </c>
      <c r="N19" s="163"/>
      <c r="O19" s="163">
        <f>IF($B$9=0,"",$F19+(19-13)/1000000)</f>
        <v>66.000005999999999</v>
      </c>
    </row>
    <row r="20" spans="1:15" ht="49.5" customHeight="1" x14ac:dyDescent="0.2">
      <c r="A20" s="164" t="s">
        <v>119</v>
      </c>
      <c r="B20" s="165">
        <f>IF(B5&lt;1,"",IF(Interests!$B$57="","",Interests!$B$57))</f>
        <v>55</v>
      </c>
      <c r="C20" s="165">
        <f>IF(B6&lt;1,"",IF(Strengths!$B$57="","",Strengths!$B$57))</f>
        <v>50</v>
      </c>
      <c r="D20" s="165">
        <f>IF(B7&lt;1,"",IF(Drivers!$B$61="","",Drivers!$B$61))</f>
        <v>50</v>
      </c>
      <c r="E20" s="165">
        <f>IF(B8&lt;1,"",IF('Work Style &amp; Environment'!$B$71="","",'Work Style &amp; Environment'!$B$71))</f>
        <v>87</v>
      </c>
      <c r="F20" s="165">
        <f t="shared" si="0"/>
        <v>55</v>
      </c>
      <c r="G20" s="165" t="str">
        <f>IF($B$9=0,"",IF(F20&gt;=Admin_Settings!$B$3,Admin_Settings!$B$7,IF(F20&gt;=Admin_Settings!$B$4,Admin_Settings!$B$8,IF(F20&gt;=Admin_Settings!$B$5,Admin_Settings!$B$9,IF(F20&gt;=Admin_Settings!$B$6,Admin_Settings!$B$10,Admin_Settings!$B$11)))))</f>
        <v>Moderate Fit</v>
      </c>
      <c r="H20" s="162" t="s">
        <v>495</v>
      </c>
      <c r="I20" s="165">
        <f t="shared" si="1"/>
        <v>19.3</v>
      </c>
      <c r="J20" s="165">
        <f t="shared" si="2"/>
        <v>17.5</v>
      </c>
      <c r="K20" s="165">
        <f t="shared" si="3"/>
        <v>10</v>
      </c>
      <c r="L20" s="165">
        <f t="shared" si="4"/>
        <v>8.6999999999999993</v>
      </c>
      <c r="M20" s="165" t="str">
        <f t="shared" si="5"/>
        <v>Top: Interests</v>
      </c>
      <c r="N20" s="166"/>
      <c r="O20" s="166">
        <f>IF($B$9=0,"",$F20+(20-13)/1000000)</f>
        <v>55.000006999999997</v>
      </c>
    </row>
    <row r="21" spans="1:15" ht="49.5" customHeight="1" x14ac:dyDescent="0.2">
      <c r="A21" s="160" t="s">
        <v>43</v>
      </c>
      <c r="B21" s="161">
        <f>IF(B5&lt;1,"",IF(Interests!$B$58="","",Interests!$B$58))</f>
        <v>25</v>
      </c>
      <c r="C21" s="161">
        <f>IF(B6&lt;1,"",IF(Strengths!$B$58="","",Strengths!$B$58))</f>
        <v>25</v>
      </c>
      <c r="D21" s="161">
        <f>IF(B7&lt;1,"",IF(Drivers!$B$62="","",Drivers!$B$62))</f>
        <v>25</v>
      </c>
      <c r="E21" s="161">
        <f>IF(B8&lt;1,"",IF('Work Style &amp; Environment'!$B$72="","",'Work Style &amp; Environment'!$B$72))</f>
        <v>77</v>
      </c>
      <c r="F21" s="161">
        <f t="shared" si="0"/>
        <v>30</v>
      </c>
      <c r="G21" s="161" t="str">
        <f>IF($B$9=0,"",IF(F21&gt;=Admin_Settings!$B$3,Admin_Settings!$B$7,IF(F21&gt;=Admin_Settings!$B$4,Admin_Settings!$B$8,IF(F21&gt;=Admin_Settings!$B$5,Admin_Settings!$B$9,IF(F21&gt;=Admin_Settings!$B$6,Admin_Settings!$B$10,Admin_Settings!$B$11)))))</f>
        <v>Low Fit</v>
      </c>
      <c r="H21" s="162" t="s">
        <v>496</v>
      </c>
      <c r="I21" s="161">
        <f t="shared" si="1"/>
        <v>8.8000000000000007</v>
      </c>
      <c r="J21" s="161">
        <f t="shared" si="2"/>
        <v>8.8000000000000007</v>
      </c>
      <c r="K21" s="161">
        <f t="shared" si="3"/>
        <v>5</v>
      </c>
      <c r="L21" s="161">
        <f t="shared" si="4"/>
        <v>7.7</v>
      </c>
      <c r="M21" s="161" t="str">
        <f t="shared" si="5"/>
        <v>Top: Interests</v>
      </c>
      <c r="N21" s="163"/>
      <c r="O21" s="163">
        <f>IF($B$9=0,"",$F21+(21-13)/1000000)</f>
        <v>30.000008000000001</v>
      </c>
    </row>
    <row r="22" spans="1:15" ht="12" customHeight="1" x14ac:dyDescent="0.2"/>
    <row r="23" spans="1:15" ht="12" customHeight="1" x14ac:dyDescent="0.2"/>
    <row r="24" spans="1:15" ht="31.5" customHeight="1" x14ac:dyDescent="0.2">
      <c r="A24" s="232" t="s">
        <v>497</v>
      </c>
      <c r="B24" s="232"/>
      <c r="C24" s="232"/>
      <c r="D24" s="232"/>
      <c r="E24" s="232"/>
      <c r="F24" s="232"/>
      <c r="G24" s="232"/>
      <c r="H24" s="232"/>
      <c r="I24" s="232"/>
      <c r="J24" s="232"/>
      <c r="K24" s="232"/>
      <c r="L24" s="232"/>
      <c r="M24" s="232"/>
    </row>
    <row r="25" spans="1:15" ht="25.5" customHeight="1" x14ac:dyDescent="0.2">
      <c r="A25" s="167" t="s">
        <v>141</v>
      </c>
      <c r="B25" s="167" t="s">
        <v>47</v>
      </c>
      <c r="C25" s="167" t="s">
        <v>469</v>
      </c>
      <c r="D25" s="167" t="s">
        <v>498</v>
      </c>
      <c r="H25" s="159" t="s">
        <v>499</v>
      </c>
    </row>
    <row r="26" spans="1:15" ht="57.75" customHeight="1" x14ac:dyDescent="0.2">
      <c r="A26" s="168">
        <v>1</v>
      </c>
      <c r="B26" s="169" t="str">
        <f>IF($B$9=0,"",INDEX($A$13:$A$21,MATCH(LARGE($O$13:$O$21,1),$O$13:$O$21,0)))</f>
        <v>Learning &amp; Support Path</v>
      </c>
      <c r="C26" s="170">
        <f>IF($B$9=0,"",LARGE($F$13:$F$21,1))</f>
        <v>80</v>
      </c>
      <c r="D26" s="171" t="str">
        <f>IF($B$9=0,"",INDEX($G$13:$G$21,MATCH($B26,$A$13:$A$21,0)))</f>
        <v>Strong Fit</v>
      </c>
      <c r="E26" s="171"/>
      <c r="F26" s="171"/>
      <c r="G26" s="171"/>
      <c r="H26" s="172" t="str">
        <f>IF($B$9=0,"",IF(B26="","",INDEX($H$13:$H$21,MATCH(B26,$A$13:$A$21,0))))</f>
        <v>Helping others learn, grow, and overcome challenges through teaching, counseling, coaching, or community programs. You build trust over time and take pride in watching people progress.</v>
      </c>
      <c r="I26" s="171"/>
      <c r="J26" s="173"/>
      <c r="K26" s="173"/>
      <c r="L26" s="173"/>
      <c r="M26" s="173"/>
      <c r="N26" s="173"/>
      <c r="O26" s="173"/>
    </row>
    <row r="27" spans="1:15" ht="57.75" customHeight="1" x14ac:dyDescent="0.2">
      <c r="A27" s="174">
        <v>2</v>
      </c>
      <c r="B27" s="175" t="str">
        <f>IF($B$9=0,"",INDEX($A$13:$A$21,MATCH(LARGE($O$13:$O$21,2),$O$13:$O$21,0)))</f>
        <v>Business Growth &amp; Leadership Path</v>
      </c>
      <c r="C27" s="176">
        <f>IF($B$9=0,"",LARGE($F$13:$F$21,2))</f>
        <v>78</v>
      </c>
      <c r="D27" s="177" t="str">
        <f>IF($B$9=0,"",INDEX($G$13:$G$21,MATCH($B27,$A$13:$A$21,0)))</f>
        <v>Strong Fit</v>
      </c>
      <c r="E27" s="177"/>
      <c r="F27" s="177"/>
      <c r="G27" s="177"/>
      <c r="H27" s="172" t="str">
        <f>IF($B$9=0,"",IF(B27="","",INDEX($H$13:$H$21,MATCH(B27,$A$13:$A$21,0))))</f>
        <v>Organizing people, plans, and resources to reach goals and grow organizations. You work in management, marketing, finance, entrepreneurship, or operations — making decisions that create results.</v>
      </c>
      <c r="I27" s="177"/>
      <c r="J27" s="173"/>
      <c r="K27" s="173"/>
      <c r="L27" s="173"/>
      <c r="M27" s="173"/>
      <c r="N27" s="173"/>
      <c r="O27" s="173"/>
    </row>
    <row r="28" spans="1:15" ht="57.75" customHeight="1" x14ac:dyDescent="0.2">
      <c r="A28" s="174">
        <v>3</v>
      </c>
      <c r="B28" s="175" t="str">
        <f>IF($B$9=0,"",INDEX($A$13:$A$21,MATCH(LARGE($O$13:$O$21,3),$O$13:$O$21,0)))</f>
        <v>Clinical Care Path</v>
      </c>
      <c r="C28" s="176">
        <f>IF($B$9=0,"",LARGE($F$13:$F$21,3))</f>
        <v>69</v>
      </c>
      <c r="D28" s="177" t="str">
        <f>IF($B$9=0,"",INDEX($G$13:$G$21,MATCH($B28,$A$13:$A$21,0)))</f>
        <v>Moderate Fit</v>
      </c>
      <c r="E28" s="177"/>
      <c r="F28" s="177"/>
      <c r="G28" s="177"/>
      <c r="H28" s="172" t="str">
        <f>IF($B$9=0,"",IF(B28="","",INDEX($H$13:$H$21,MATCH(B28,$A$13:$A$21,0))))</f>
        <v>Helping people heal through nursing, therapy, medicine, or mental health care. You work directly with patients in clinical settings using careful procedures and science-based methods.</v>
      </c>
      <c r="I28" s="177"/>
      <c r="J28" s="173"/>
      <c r="K28" s="173"/>
      <c r="L28" s="173"/>
      <c r="M28" s="173"/>
      <c r="N28" s="173"/>
      <c r="O28" s="173"/>
    </row>
    <row r="29" spans="1:15" ht="21.75" customHeight="1" x14ac:dyDescent="0.2">
      <c r="A29" s="233" t="str">
        <f>IF($B$9=0,"",IF(ABS($C26-$C27)&lt;=Admin_Settings!$B$13,"Tie note: Your Top 2 are very close—explore BOTH.",""))</f>
        <v>Tie note: Your Top 2 are very close—explore BOTH.</v>
      </c>
      <c r="B29" s="233"/>
      <c r="C29" s="233"/>
      <c r="D29" s="233"/>
    </row>
    <row r="30" spans="1:15" ht="31.5" customHeight="1" x14ac:dyDescent="0.2">
      <c r="A30" s="229" t="s">
        <v>500</v>
      </c>
      <c r="B30" s="229"/>
      <c r="C30" s="229"/>
      <c r="D30" s="229"/>
      <c r="E30" s="229"/>
      <c r="F30" s="229"/>
      <c r="G30" s="229"/>
      <c r="H30" s="229"/>
      <c r="I30" s="229"/>
      <c r="J30" s="229"/>
      <c r="K30" s="229"/>
      <c r="L30" s="229"/>
      <c r="M30" s="229"/>
    </row>
    <row r="31" spans="1:15" ht="25.5" customHeight="1" x14ac:dyDescent="0.2">
      <c r="A31" s="230" t="s">
        <v>501</v>
      </c>
      <c r="B31" s="230"/>
      <c r="C31" s="230"/>
      <c r="D31" s="230"/>
      <c r="E31" s="230"/>
      <c r="F31" s="230"/>
      <c r="G31" s="230"/>
      <c r="H31" s="230"/>
      <c r="I31" s="230"/>
      <c r="J31" s="230"/>
      <c r="K31" s="230"/>
      <c r="L31" s="230"/>
      <c r="M31" s="230"/>
    </row>
    <row r="32" spans="1:15" ht="7.5" customHeight="1" x14ac:dyDescent="0.2">
      <c r="A32" s="179"/>
    </row>
    <row r="33" spans="1:13" ht="51.75" customHeight="1" x14ac:dyDescent="0.2">
      <c r="A33" s="180" t="s">
        <v>502</v>
      </c>
      <c r="B33" s="228" t="str">
        <f>IF($B$9=0,"","Your highest-scoring paths right now are " &amp; $B$26 &amp; ", " &amp; $B$27 &amp; ", and " &amp; $B$28 &amp; ". These are your best places to start exploring — not a label or a limit. Scores will shift as you gain experience.")</f>
        <v>Your highest-scoring paths right now are Learning &amp; Support Path, Business Growth &amp; Leadership Path, and Clinical Care Path. These are your best places to start exploring — not a label or a limit. Scores will shift as you gain experience.</v>
      </c>
      <c r="C33" s="228"/>
      <c r="D33" s="228"/>
      <c r="E33" s="228"/>
      <c r="F33" s="228"/>
      <c r="G33" s="228"/>
      <c r="H33" s="228"/>
      <c r="I33" s="228"/>
      <c r="J33" s="228"/>
      <c r="K33" s="228"/>
      <c r="L33" s="228"/>
      <c r="M33" s="228"/>
    </row>
    <row r="34" spans="1:13" ht="51.75" customHeight="1" x14ac:dyDescent="0.2">
      <c r="A34" s="181" t="s">
        <v>503</v>
      </c>
      <c r="B34" s="227" t="str">
        <f>IF($B$9=0,"","1) "&amp;$B$26&amp;" (score "&amp;$C$26&amp;") | 2) "&amp;$B$27&amp;" (score "&amp;$C$27&amp;") | 3) "&amp;$B$28&amp;" (score "&amp;$C$28&amp;")")</f>
        <v>1) Learning &amp; Support Path (score 80) | 2) Business Growth &amp; Leadership Path (score 78) | 3) Clinical Care Path (score 69)</v>
      </c>
      <c r="C34" s="227"/>
      <c r="D34" s="227"/>
      <c r="E34" s="227"/>
      <c r="F34" s="227"/>
      <c r="G34" s="227"/>
      <c r="H34" s="227"/>
      <c r="I34" s="227"/>
      <c r="J34" s="227"/>
      <c r="K34" s="227"/>
      <c r="L34" s="227"/>
      <c r="M34" s="227"/>
    </row>
    <row r="35" spans="1:13" ht="51.75" customHeight="1" x14ac:dyDescent="0.2">
      <c r="A35" s="180" t="s">
        <v>504</v>
      </c>
      <c r="B35" s="228" t="s">
        <v>505</v>
      </c>
      <c r="C35" s="228"/>
      <c r="D35" s="228"/>
      <c r="E35" s="228"/>
      <c r="F35" s="228"/>
      <c r="G35" s="228"/>
      <c r="H35" s="228"/>
      <c r="I35" s="228"/>
      <c r="J35" s="228"/>
      <c r="K35" s="228"/>
      <c r="L35" s="228"/>
      <c r="M35" s="228"/>
    </row>
    <row r="36" spans="1:13" ht="51.75" customHeight="1" x14ac:dyDescent="0.2">
      <c r="A36" s="181" t="s">
        <v>506</v>
      </c>
      <c r="B36" s="227" t="str">
        <f>IF($B$9=0,"","• Watch a 10-min day-in-the-life video for each top path.
• Have a 15-min conversation with someone in one of those fields.
• Try one related club, elective, or volunteer activity.
• Write down: what gave you energy, what drained you, what surprised you.")</f>
        <v>• Watch a 10-min day-in-the-life video for each top path.
• Have a 15-min conversation with someone in one of those fields.
• Try one related club, elective, or volunteer activity.
• Write down: what gave you energy, what drained you, what surprised you.</v>
      </c>
      <c r="C36" s="227"/>
      <c r="D36" s="227"/>
      <c r="E36" s="227"/>
      <c r="F36" s="227"/>
      <c r="G36" s="227"/>
      <c r="H36" s="227"/>
      <c r="I36" s="227"/>
      <c r="J36" s="227"/>
      <c r="K36" s="227"/>
      <c r="L36" s="227"/>
      <c r="M36" s="227"/>
    </row>
    <row r="37" spans="1:13" ht="51.75" customHeight="1" x14ac:dyDescent="0.2">
      <c r="A37" s="180" t="s">
        <v>507</v>
      </c>
      <c r="B37" s="228" t="str">
        <f>IF($B$9=0,"","• What part of " &amp; $B$26 &amp; " actually sounds interesting to you?
• What would need to be true for " &amp; $B$27 &amp; " to feel like a good fit?
• Which work conditions matter most to you — pace, people, pressure, or variety?")</f>
        <v>• What part of Learning &amp; Support Path actually sounds interesting to you?
• What would need to be true for Business Growth &amp; Leadership Path to feel like a good fit?
• Which work conditions matter most to you — pace, people, pressure, or variety?</v>
      </c>
      <c r="C37" s="228"/>
      <c r="D37" s="228"/>
      <c r="E37" s="228"/>
      <c r="F37" s="228"/>
      <c r="G37" s="228"/>
      <c r="H37" s="228"/>
      <c r="I37" s="228"/>
      <c r="J37" s="228"/>
      <c r="K37" s="228"/>
      <c r="L37" s="228"/>
      <c r="M37" s="228"/>
    </row>
    <row r="38" spans="1:13" ht="51.75" customHeight="1" x14ac:dyDescent="0.2">
      <c r="A38" s="181" t="s">
        <v>508</v>
      </c>
      <c r="B38" s="227" t="str">
        <f>IF($B$9=0,"",IF($B$9=1,"You answered all sections — your results have good coverage. If a result surprises you, do one small experiment in that direction before deciding it does not fit.","You have incomplete sections — answer all items for more reliable results, then revisit your top paths."))</f>
        <v>You answered all sections — your results have good coverage. If a result surprises you, do one small experiment in that direction before deciding it does not fit.</v>
      </c>
      <c r="C38" s="227"/>
      <c r="D38" s="227"/>
      <c r="E38" s="227"/>
      <c r="F38" s="227"/>
      <c r="G38" s="227"/>
      <c r="H38" s="227"/>
      <c r="I38" s="227"/>
      <c r="J38" s="227"/>
      <c r="K38" s="227"/>
      <c r="L38" s="227"/>
      <c r="M38" s="227"/>
    </row>
    <row r="39" spans="1:13" ht="21.75" customHeight="1" x14ac:dyDescent="0.2">
      <c r="A39" s="182" t="s">
        <v>509</v>
      </c>
      <c r="B39" s="183" t="s">
        <v>510</v>
      </c>
    </row>
    <row r="40" spans="1:13" ht="21.75" customHeight="1" x14ac:dyDescent="0.2">
      <c r="A40" s="184"/>
    </row>
    <row r="41" spans="1:13" ht="21.75" customHeight="1" x14ac:dyDescent="0.2">
      <c r="A41" s="178"/>
    </row>
    <row r="42" spans="1:13" ht="21.75" customHeight="1" x14ac:dyDescent="0.2"/>
    <row r="43" spans="1:13" ht="21.75" customHeight="1" x14ac:dyDescent="0.2">
      <c r="A43" s="184"/>
    </row>
    <row r="44" spans="1:13" ht="21" customHeight="1" x14ac:dyDescent="0.2">
      <c r="A44" s="185"/>
      <c r="C44" s="178"/>
    </row>
    <row r="45" spans="1:13" ht="21" customHeight="1" x14ac:dyDescent="0.2">
      <c r="A45" s="185"/>
      <c r="C45" s="178"/>
    </row>
    <row r="46" spans="1:13" ht="21" customHeight="1" x14ac:dyDescent="0.2">
      <c r="A46" s="185"/>
      <c r="C46" s="178"/>
    </row>
    <row r="47" spans="1:13" ht="21" customHeight="1" x14ac:dyDescent="0.2">
      <c r="A47" s="185"/>
      <c r="C47" s="178"/>
    </row>
    <row r="52" ht="15" customHeight="1" x14ac:dyDescent="0.2"/>
    <row r="53" ht="15" customHeight="1" x14ac:dyDescent="0.2"/>
    <row r="54" ht="15" customHeight="1" x14ac:dyDescent="0.2"/>
  </sheetData>
  <mergeCells count="13">
    <mergeCell ref="A1:L1"/>
    <mergeCell ref="A2:L2"/>
    <mergeCell ref="K10:L10"/>
    <mergeCell ref="A24:M24"/>
    <mergeCell ref="A29:D29"/>
    <mergeCell ref="B36:M36"/>
    <mergeCell ref="B37:M37"/>
    <mergeCell ref="B38:M38"/>
    <mergeCell ref="A30:M30"/>
    <mergeCell ref="A31:M31"/>
    <mergeCell ref="B33:M33"/>
    <mergeCell ref="B34:M34"/>
    <mergeCell ref="B35:M35"/>
  </mergeCells>
  <conditionalFormatting sqref="F13:F21">
    <cfRule type="cellIs" dxfId="3" priority="2" operator="greaterThanOrEqual">
      <formula>75</formula>
    </cfRule>
    <cfRule type="cellIs" dxfId="2" priority="3" operator="between">
      <formula>50</formula>
      <formula>74</formula>
    </cfRule>
    <cfRule type="cellIs" dxfId="1" priority="4" operator="between">
      <formula>25</formula>
      <formula>49</formula>
    </cfRule>
    <cfRule type="cellIs" dxfId="0" priority="5" operator="lessThan">
      <formula>25</formula>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zoomScaleNormal="100" workbookViewId="0"/>
  </sheetViews>
  <sheetFormatPr baseColWidth="10" defaultColWidth="8.83203125" defaultRowHeight="15" x14ac:dyDescent="0.2"/>
  <cols>
    <col min="1" max="1" width="38" customWidth="1"/>
    <col min="2" max="3" width="18" customWidth="1"/>
  </cols>
  <sheetData>
    <row r="1" spans="1:2" ht="21" customHeight="1" x14ac:dyDescent="0.2">
      <c r="A1" t="s">
        <v>511</v>
      </c>
    </row>
    <row r="2" spans="1:2" ht="21" customHeight="1" x14ac:dyDescent="0.2"/>
    <row r="3" spans="1:2" ht="21" customHeight="1" x14ac:dyDescent="0.2">
      <c r="A3" t="s">
        <v>512</v>
      </c>
      <c r="B3">
        <v>85</v>
      </c>
    </row>
    <row r="4" spans="1:2" ht="21" customHeight="1" x14ac:dyDescent="0.2">
      <c r="A4" t="s">
        <v>513</v>
      </c>
      <c r="B4">
        <v>70</v>
      </c>
    </row>
    <row r="5" spans="1:2" ht="21" customHeight="1" x14ac:dyDescent="0.2">
      <c r="A5" t="s">
        <v>514</v>
      </c>
      <c r="B5">
        <v>55</v>
      </c>
    </row>
    <row r="6" spans="1:2" ht="21" customHeight="1" x14ac:dyDescent="0.2">
      <c r="A6" t="s">
        <v>515</v>
      </c>
      <c r="B6">
        <v>40</v>
      </c>
    </row>
    <row r="7" spans="1:2" ht="21" customHeight="1" x14ac:dyDescent="0.2">
      <c r="A7" t="s">
        <v>516</v>
      </c>
      <c r="B7" t="s">
        <v>517</v>
      </c>
    </row>
    <row r="8" spans="1:2" ht="21" customHeight="1" x14ac:dyDescent="0.2">
      <c r="A8" t="s">
        <v>518</v>
      </c>
      <c r="B8" t="s">
        <v>519</v>
      </c>
    </row>
    <row r="9" spans="1:2" ht="21" customHeight="1" x14ac:dyDescent="0.2">
      <c r="A9" t="s">
        <v>520</v>
      </c>
      <c r="B9" t="s">
        <v>521</v>
      </c>
    </row>
    <row r="10" spans="1:2" ht="21" customHeight="1" x14ac:dyDescent="0.2">
      <c r="A10" t="s">
        <v>522</v>
      </c>
      <c r="B10" t="s">
        <v>523</v>
      </c>
    </row>
    <row r="11" spans="1:2" ht="21" customHeight="1" x14ac:dyDescent="0.2">
      <c r="A11" t="s">
        <v>524</v>
      </c>
      <c r="B11" t="s">
        <v>525</v>
      </c>
    </row>
    <row r="12" spans="1:2" ht="21" customHeight="1" x14ac:dyDescent="0.2"/>
    <row r="13" spans="1:2" ht="21" customHeight="1" x14ac:dyDescent="0.2">
      <c r="A13" t="s">
        <v>526</v>
      </c>
      <c r="B13">
        <v>5</v>
      </c>
    </row>
    <row r="14" spans="1:2" ht="21" customHeight="1" x14ac:dyDescent="0.2"/>
    <row r="15" spans="1:2" ht="21" customHeight="1" x14ac:dyDescent="0.2">
      <c r="A15" t="s">
        <v>527</v>
      </c>
    </row>
    <row r="16" spans="1:2" ht="21" customHeight="1" x14ac:dyDescent="0.2">
      <c r="A16" t="s">
        <v>467</v>
      </c>
      <c r="B16">
        <v>0.35</v>
      </c>
    </row>
    <row r="17" spans="1:2" ht="21" customHeight="1" x14ac:dyDescent="0.2">
      <c r="A17" t="s">
        <v>470</v>
      </c>
      <c r="B17">
        <v>0.35</v>
      </c>
    </row>
    <row r="18" spans="1:2" ht="21" customHeight="1" x14ac:dyDescent="0.2">
      <c r="A18" t="s">
        <v>472</v>
      </c>
      <c r="B18">
        <v>0.2</v>
      </c>
    </row>
    <row r="19" spans="1:2" ht="21" customHeight="1" x14ac:dyDescent="0.2">
      <c r="A19" t="s">
        <v>528</v>
      </c>
      <c r="B19">
        <v>0.1</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zoomScaleNormal="100" workbookViewId="0"/>
  </sheetViews>
  <sheetFormatPr baseColWidth="10" defaultColWidth="8.83203125" defaultRowHeight="15" x14ac:dyDescent="0.2"/>
  <cols>
    <col min="1" max="1" width="26" customWidth="1"/>
    <col min="2" max="4" width="44" customWidth="1"/>
  </cols>
  <sheetData>
    <row r="1" spans="1:8" ht="27.75" customHeight="1" x14ac:dyDescent="0.2">
      <c r="A1" s="234" t="s">
        <v>529</v>
      </c>
      <c r="B1" s="234"/>
      <c r="C1" s="234"/>
      <c r="D1" s="234"/>
      <c r="E1" s="234"/>
      <c r="F1" s="234"/>
      <c r="G1" s="234"/>
      <c r="H1" s="234"/>
    </row>
    <row r="2" spans="1:8" ht="21" customHeight="1" x14ac:dyDescent="0.2">
      <c r="A2" s="235" t="s">
        <v>530</v>
      </c>
      <c r="B2" s="235"/>
      <c r="C2" s="235"/>
      <c r="D2" s="235"/>
      <c r="E2" s="235"/>
      <c r="F2" s="235"/>
      <c r="G2" s="235"/>
      <c r="H2" s="235"/>
    </row>
    <row r="3" spans="1:8" ht="21" customHeight="1" x14ac:dyDescent="0.2"/>
    <row r="4" spans="1:8" ht="21" customHeight="1" x14ac:dyDescent="0.2">
      <c r="A4" s="186" t="s">
        <v>531</v>
      </c>
      <c r="B4" s="186" t="s">
        <v>532</v>
      </c>
      <c r="C4" s="186" t="s">
        <v>533</v>
      </c>
      <c r="D4" s="186" t="s">
        <v>534</v>
      </c>
    </row>
    <row r="5" spans="1:8" ht="21" customHeight="1" x14ac:dyDescent="0.2">
      <c r="A5" s="187" t="s">
        <v>467</v>
      </c>
      <c r="B5" s="187" t="s">
        <v>535</v>
      </c>
      <c r="C5" s="187" t="s">
        <v>536</v>
      </c>
      <c r="D5" s="187" t="s">
        <v>537</v>
      </c>
    </row>
    <row r="6" spans="1:8" ht="21" customHeight="1" x14ac:dyDescent="0.2">
      <c r="A6" s="187" t="s">
        <v>470</v>
      </c>
      <c r="B6" s="187" t="s">
        <v>538</v>
      </c>
      <c r="C6" s="187" t="s">
        <v>539</v>
      </c>
      <c r="D6" s="187" t="s">
        <v>540</v>
      </c>
    </row>
    <row r="7" spans="1:8" ht="21" customHeight="1" x14ac:dyDescent="0.2">
      <c r="A7" s="187" t="s">
        <v>541</v>
      </c>
      <c r="B7" s="187" t="s">
        <v>542</v>
      </c>
      <c r="C7" s="187" t="s">
        <v>543</v>
      </c>
      <c r="D7" s="187" t="s">
        <v>544</v>
      </c>
    </row>
    <row r="8" spans="1:8" ht="21" customHeight="1" x14ac:dyDescent="0.2">
      <c r="A8" s="187" t="s">
        <v>545</v>
      </c>
      <c r="B8" s="187" t="s">
        <v>546</v>
      </c>
      <c r="C8" s="187" t="s">
        <v>547</v>
      </c>
      <c r="D8" s="187" t="s">
        <v>548</v>
      </c>
    </row>
    <row r="9" spans="1:8" ht="21" customHeight="1" x14ac:dyDescent="0.2">
      <c r="A9" s="187" t="s">
        <v>549</v>
      </c>
      <c r="B9" s="187" t="s">
        <v>550</v>
      </c>
      <c r="C9" s="187" t="s">
        <v>551</v>
      </c>
      <c r="D9" s="187" t="s">
        <v>552</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zoomScaleNormal="100" workbookViewId="0">
      <selection sqref="A1:H1"/>
    </sheetView>
  </sheetViews>
  <sheetFormatPr baseColWidth="10" defaultColWidth="8.83203125" defaultRowHeight="15" x14ac:dyDescent="0.2"/>
  <cols>
    <col min="1" max="1" width="28" customWidth="1"/>
    <col min="2" max="2" width="90" customWidth="1"/>
  </cols>
  <sheetData>
    <row r="1" spans="1:8" ht="27.75" customHeight="1" x14ac:dyDescent="0.2">
      <c r="A1" s="234" t="s">
        <v>553</v>
      </c>
      <c r="B1" s="234"/>
      <c r="C1" s="234"/>
      <c r="D1" s="234"/>
      <c r="E1" s="234"/>
      <c r="F1" s="234"/>
      <c r="G1" s="234"/>
      <c r="H1" s="234"/>
    </row>
    <row r="2" spans="1:8" ht="21" customHeight="1" x14ac:dyDescent="0.2">
      <c r="A2" s="235" t="s">
        <v>554</v>
      </c>
      <c r="B2" s="235"/>
      <c r="C2" s="235"/>
      <c r="D2" s="235"/>
      <c r="E2" s="235"/>
      <c r="F2" s="235"/>
      <c r="G2" s="235"/>
      <c r="H2" s="235"/>
    </row>
    <row r="3" spans="1:8" ht="21" customHeight="1" x14ac:dyDescent="0.2"/>
    <row r="4" spans="1:8" ht="21" customHeight="1" x14ac:dyDescent="0.2">
      <c r="A4" s="188" t="s">
        <v>555</v>
      </c>
      <c r="B4" s="188" t="s">
        <v>556</v>
      </c>
    </row>
    <row r="5" spans="1:8" ht="21" customHeight="1" x14ac:dyDescent="0.2">
      <c r="A5" s="189" t="s">
        <v>557</v>
      </c>
      <c r="B5" s="187" t="s">
        <v>558</v>
      </c>
    </row>
    <row r="6" spans="1:8" ht="21" customHeight="1" x14ac:dyDescent="0.2">
      <c r="A6" s="189" t="s">
        <v>559</v>
      </c>
      <c r="B6" s="187" t="s">
        <v>560</v>
      </c>
    </row>
    <row r="7" spans="1:8" ht="21" customHeight="1" x14ac:dyDescent="0.2">
      <c r="A7" s="189" t="s">
        <v>561</v>
      </c>
      <c r="B7" s="187" t="s">
        <v>562</v>
      </c>
    </row>
    <row r="8" spans="1:8" ht="21" customHeight="1" x14ac:dyDescent="0.2">
      <c r="A8" s="189" t="s">
        <v>563</v>
      </c>
      <c r="B8" s="187" t="s">
        <v>564</v>
      </c>
    </row>
    <row r="9" spans="1:8" ht="21" customHeight="1" x14ac:dyDescent="0.2">
      <c r="A9" s="189" t="s">
        <v>565</v>
      </c>
      <c r="B9" s="187" t="s">
        <v>566</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zoomScaleNormal="100" workbookViewId="0"/>
  </sheetViews>
  <sheetFormatPr baseColWidth="10" defaultColWidth="8.83203125" defaultRowHeight="15" x14ac:dyDescent="0.2"/>
  <cols>
    <col min="1" max="1" width="22" customWidth="1"/>
    <col min="2" max="2" width="58" customWidth="1"/>
    <col min="3" max="3" width="36" customWidth="1"/>
    <col min="4" max="4" width="14" customWidth="1"/>
  </cols>
  <sheetData>
    <row r="1" spans="1:8" ht="27.75" customHeight="1" x14ac:dyDescent="0.2">
      <c r="A1" s="234" t="s">
        <v>567</v>
      </c>
      <c r="B1" s="234"/>
      <c r="C1" s="234"/>
      <c r="D1" s="234"/>
      <c r="E1" s="234"/>
      <c r="F1" s="234"/>
      <c r="G1" s="234"/>
      <c r="H1" s="234"/>
    </row>
    <row r="2" spans="1:8" ht="21" customHeight="1" x14ac:dyDescent="0.2">
      <c r="A2" s="235" t="s">
        <v>568</v>
      </c>
      <c r="B2" s="235"/>
      <c r="C2" s="235"/>
      <c r="D2" s="235"/>
      <c r="E2" s="235"/>
      <c r="F2" s="235"/>
      <c r="G2" s="235"/>
      <c r="H2" s="235"/>
    </row>
    <row r="3" spans="1:8" ht="21" customHeight="1" x14ac:dyDescent="0.2"/>
    <row r="4" spans="1:8" ht="21" customHeight="1" x14ac:dyDescent="0.2">
      <c r="A4" s="186" t="s">
        <v>569</v>
      </c>
      <c r="B4" s="186" t="s">
        <v>570</v>
      </c>
      <c r="C4" s="186" t="s">
        <v>571</v>
      </c>
      <c r="D4" s="186" t="s">
        <v>572</v>
      </c>
    </row>
    <row r="5" spans="1:8" ht="21" customHeight="1" x14ac:dyDescent="0.2">
      <c r="A5" s="187" t="s">
        <v>573</v>
      </c>
      <c r="B5" s="187" t="s">
        <v>574</v>
      </c>
      <c r="C5" s="187" t="s">
        <v>575</v>
      </c>
      <c r="D5" s="187" t="s">
        <v>576</v>
      </c>
    </row>
    <row r="6" spans="1:8" ht="21" customHeight="1" x14ac:dyDescent="0.2">
      <c r="A6" s="187" t="s">
        <v>577</v>
      </c>
      <c r="B6" s="187" t="s">
        <v>578</v>
      </c>
      <c r="C6" s="187" t="s">
        <v>579</v>
      </c>
      <c r="D6" s="187" t="s">
        <v>576</v>
      </c>
    </row>
    <row r="7" spans="1:8" ht="21" customHeight="1" x14ac:dyDescent="0.2">
      <c r="A7" s="187" t="s">
        <v>580</v>
      </c>
      <c r="B7" s="187" t="s">
        <v>581</v>
      </c>
      <c r="C7" s="187" t="s">
        <v>582</v>
      </c>
      <c r="D7" s="187" t="s">
        <v>583</v>
      </c>
    </row>
    <row r="8" spans="1:8" ht="21" customHeight="1" x14ac:dyDescent="0.2">
      <c r="A8" s="187" t="s">
        <v>584</v>
      </c>
      <c r="B8" s="187" t="s">
        <v>585</v>
      </c>
      <c r="C8" s="187" t="s">
        <v>586</v>
      </c>
      <c r="D8" s="187" t="s">
        <v>587</v>
      </c>
    </row>
    <row r="9" spans="1:8" ht="21" customHeight="1" x14ac:dyDescent="0.2">
      <c r="A9" s="187" t="s">
        <v>588</v>
      </c>
      <c r="B9" s="187" t="s">
        <v>589</v>
      </c>
      <c r="C9" s="187" t="s">
        <v>590</v>
      </c>
      <c r="D9" s="187" t="s">
        <v>591</v>
      </c>
    </row>
    <row r="10" spans="1:8" ht="21" customHeight="1" x14ac:dyDescent="0.2">
      <c r="A10" s="187" t="s">
        <v>592</v>
      </c>
      <c r="B10" s="187" t="s">
        <v>593</v>
      </c>
      <c r="C10" s="187" t="s">
        <v>594</v>
      </c>
      <c r="D10" s="187" t="s">
        <v>595</v>
      </c>
    </row>
    <row r="11" spans="1:8" ht="21" customHeight="1" x14ac:dyDescent="0.2">
      <c r="A11" s="187" t="s">
        <v>596</v>
      </c>
      <c r="B11" s="187" t="s">
        <v>597</v>
      </c>
      <c r="C11" s="187" t="s">
        <v>598</v>
      </c>
      <c r="D11" s="187" t="s">
        <v>599</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
  <sheetViews>
    <sheetView zoomScaleNormal="100" workbookViewId="0"/>
  </sheetViews>
  <sheetFormatPr baseColWidth="10" defaultColWidth="8.83203125" defaultRowHeight="15" x14ac:dyDescent="0.2"/>
  <cols>
    <col min="1" max="1" width="26" customWidth="1"/>
    <col min="2" max="2" width="66" customWidth="1"/>
    <col min="3" max="3" width="10" customWidth="1"/>
    <col min="4" max="4" width="36" customWidth="1"/>
  </cols>
  <sheetData>
    <row r="1" spans="1:8" ht="27.75" customHeight="1" x14ac:dyDescent="0.2">
      <c r="A1" s="234" t="s">
        <v>600</v>
      </c>
      <c r="B1" s="234"/>
      <c r="C1" s="234"/>
      <c r="D1" s="234"/>
      <c r="E1" s="234"/>
      <c r="F1" s="234"/>
      <c r="G1" s="234"/>
      <c r="H1" s="234"/>
    </row>
    <row r="2" spans="1:8" ht="21" customHeight="1" x14ac:dyDescent="0.2">
      <c r="A2" s="235" t="s">
        <v>601</v>
      </c>
      <c r="B2" s="235"/>
      <c r="C2" s="235"/>
      <c r="D2" s="235"/>
      <c r="E2" s="235"/>
      <c r="F2" s="235"/>
      <c r="G2" s="235"/>
      <c r="H2" s="235"/>
    </row>
    <row r="3" spans="1:8" ht="21" customHeight="1" x14ac:dyDescent="0.2"/>
    <row r="4" spans="1:8" ht="21" customHeight="1" x14ac:dyDescent="0.2">
      <c r="A4" s="188" t="s">
        <v>602</v>
      </c>
      <c r="B4" s="188" t="s">
        <v>603</v>
      </c>
      <c r="C4" s="188" t="s">
        <v>604</v>
      </c>
      <c r="D4" s="188" t="s">
        <v>605</v>
      </c>
    </row>
    <row r="5" spans="1:8" ht="21" customHeight="1" x14ac:dyDescent="0.2">
      <c r="A5" s="187" t="s">
        <v>606</v>
      </c>
      <c r="B5" s="187" t="s">
        <v>607</v>
      </c>
      <c r="C5" s="187"/>
      <c r="D5" s="187"/>
    </row>
    <row r="6" spans="1:8" ht="21" customHeight="1" x14ac:dyDescent="0.2">
      <c r="A6" s="187" t="s">
        <v>608</v>
      </c>
      <c r="B6" s="187" t="s">
        <v>609</v>
      </c>
      <c r="C6" s="187"/>
      <c r="D6" s="187"/>
    </row>
    <row r="7" spans="1:8" ht="21" customHeight="1" x14ac:dyDescent="0.2">
      <c r="A7" s="187" t="s">
        <v>610</v>
      </c>
      <c r="B7" s="187" t="s">
        <v>611</v>
      </c>
      <c r="C7" s="187"/>
      <c r="D7" s="187"/>
    </row>
    <row r="8" spans="1:8" ht="21" customHeight="1" x14ac:dyDescent="0.2">
      <c r="A8" s="187" t="s">
        <v>612</v>
      </c>
      <c r="B8" s="187" t="s">
        <v>613</v>
      </c>
      <c r="C8" s="187"/>
      <c r="D8" s="187"/>
    </row>
    <row r="9" spans="1:8" ht="21" customHeight="1" x14ac:dyDescent="0.2">
      <c r="A9" s="187" t="s">
        <v>614</v>
      </c>
      <c r="B9" s="187" t="s">
        <v>615</v>
      </c>
      <c r="C9" s="187"/>
      <c r="D9" s="187"/>
    </row>
    <row r="10" spans="1:8" ht="21" customHeight="1" x14ac:dyDescent="0.2">
      <c r="A10" s="187" t="s">
        <v>616</v>
      </c>
      <c r="B10" s="187" t="s">
        <v>617</v>
      </c>
      <c r="C10" s="187"/>
      <c r="D10" s="187"/>
    </row>
    <row r="11" spans="1:8" ht="21" customHeight="1" x14ac:dyDescent="0.2">
      <c r="A11" s="187" t="s">
        <v>618</v>
      </c>
      <c r="B11" s="187" t="s">
        <v>619</v>
      </c>
      <c r="C11" s="187"/>
      <c r="D11" s="187"/>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zoomScaleNormal="100" workbookViewId="0"/>
  </sheetViews>
  <sheetFormatPr baseColWidth="10" defaultColWidth="8.83203125" defaultRowHeight="15" x14ac:dyDescent="0.2"/>
  <cols>
    <col min="1" max="1" width="34" customWidth="1"/>
    <col min="2" max="2" width="90" customWidth="1"/>
  </cols>
  <sheetData>
    <row r="1" spans="1:8" ht="27.75" customHeight="1" x14ac:dyDescent="0.2">
      <c r="A1" s="234" t="s">
        <v>620</v>
      </c>
      <c r="B1" s="234"/>
      <c r="C1" s="234"/>
      <c r="D1" s="234"/>
      <c r="E1" s="234"/>
      <c r="F1" s="234"/>
      <c r="G1" s="234"/>
      <c r="H1" s="234"/>
    </row>
    <row r="2" spans="1:8" ht="21" customHeight="1" x14ac:dyDescent="0.2">
      <c r="A2" s="235" t="s">
        <v>621</v>
      </c>
      <c r="B2" s="235"/>
      <c r="C2" s="235"/>
      <c r="D2" s="235"/>
      <c r="E2" s="235"/>
      <c r="F2" s="235"/>
      <c r="G2" s="235"/>
      <c r="H2" s="235"/>
    </row>
    <row r="3" spans="1:8" ht="21" customHeight="1" x14ac:dyDescent="0.2"/>
    <row r="4" spans="1:8" ht="21" customHeight="1" x14ac:dyDescent="0.2">
      <c r="A4" s="188" t="s">
        <v>622</v>
      </c>
      <c r="B4" s="188" t="s">
        <v>623</v>
      </c>
    </row>
    <row r="5" spans="1:8" ht="21" customHeight="1" x14ac:dyDescent="0.2">
      <c r="A5" s="189" t="s">
        <v>624</v>
      </c>
      <c r="B5" s="187" t="s">
        <v>625</v>
      </c>
    </row>
    <row r="6" spans="1:8" ht="21" customHeight="1" x14ac:dyDescent="0.2">
      <c r="A6" s="189" t="s">
        <v>626</v>
      </c>
      <c r="B6" s="187" t="s">
        <v>627</v>
      </c>
    </row>
    <row r="7" spans="1:8" ht="21" customHeight="1" x14ac:dyDescent="0.2">
      <c r="A7" s="189" t="s">
        <v>628</v>
      </c>
      <c r="B7" s="187" t="s">
        <v>629</v>
      </c>
    </row>
    <row r="8" spans="1:8" ht="21" customHeight="1" x14ac:dyDescent="0.2">
      <c r="A8" s="189" t="s">
        <v>630</v>
      </c>
      <c r="B8" s="187" t="s">
        <v>631</v>
      </c>
    </row>
    <row r="9" spans="1:8" ht="21" customHeight="1" x14ac:dyDescent="0.2">
      <c r="A9" s="189" t="s">
        <v>632</v>
      </c>
      <c r="B9" s="187" t="s">
        <v>633</v>
      </c>
    </row>
    <row r="10" spans="1:8" ht="21" customHeight="1" x14ac:dyDescent="0.2">
      <c r="A10" s="189" t="s">
        <v>634</v>
      </c>
      <c r="B10" s="187" t="s">
        <v>635</v>
      </c>
    </row>
  </sheetData>
  <mergeCells count="2">
    <mergeCell ref="A1:H1"/>
    <mergeCell ref="A2:H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Start_Here</vt:lpstr>
      <vt:lpstr>Interests</vt:lpstr>
      <vt:lpstr>Strengths</vt:lpstr>
      <vt:lpstr>Drivers</vt:lpstr>
      <vt:lpstr>Work Style &amp; Environment</vt:lpstr>
      <vt:lpstr>Results_Dashboard</vt:lpstr>
      <vt:lpstr>Admin_Settings</vt:lpstr>
      <vt:lpstr>Construct_Map</vt:lpstr>
      <vt:lpstr>Use_Cases_Guardrails</vt:lpstr>
      <vt:lpstr>Validation_Plan</vt:lpstr>
      <vt:lpstr>Bias_Fairness_Checklist</vt:lpstr>
      <vt:lpstr>Sample_Report_Template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Joel Pukalo</cp:lastModifiedBy>
  <cp:revision>0</cp:revision>
  <dcterms:created xsi:type="dcterms:W3CDTF">2026-01-15T03:48:07Z</dcterms:created>
  <dcterms:modified xsi:type="dcterms:W3CDTF">2026-04-16T21:58:29Z</dcterms:modified>
  <dc:language>en-US</dc:language>
</cp:coreProperties>
</file>